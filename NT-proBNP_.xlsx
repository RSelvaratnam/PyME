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yhealthnetwork-my.sharepoint.com/personal/rajeevan_selvaratnam_uhn_ca/Documents/R Scripts/My Python Modules for CC Method Comp/PyME/"/>
    </mc:Choice>
  </mc:AlternateContent>
  <xr:revisionPtr revIDLastSave="189" documentId="8_{D47E404A-FB35-464B-AA25-38962BDEE7A8}" xr6:coauthVersionLast="47" xr6:coauthVersionMax="47" xr10:uidLastSave="{3B2F980C-3438-44D4-B257-11B46EBEE711}"/>
  <bookViews>
    <workbookView xWindow="-2750" yWindow="-21600" windowWidth="19380" windowHeight="20970" activeTab="2" xr2:uid="{00000000-000D-0000-FFFF-FFFF00000000}"/>
  </bookViews>
  <sheets>
    <sheet name="Method Comparison" sheetId="1" r:id="rId1"/>
    <sheet name="Precision" sheetId="2" r:id="rId2"/>
    <sheet name="Linearity, Sr" sheetId="11" r:id="rId3"/>
    <sheet name="Reference Interval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1" l="1"/>
  <c r="D40" i="11"/>
  <c r="D37" i="11"/>
  <c r="D34" i="11"/>
  <c r="D31" i="11"/>
  <c r="D25" i="11"/>
  <c r="D43" i="11"/>
  <c r="D22" i="11"/>
  <c r="D19" i="11"/>
  <c r="D16" i="11"/>
  <c r="B22" i="2"/>
  <c r="B2" i="10" l="1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7" i="10"/>
  <c r="B5" i="10"/>
  <c r="B4" i="10"/>
  <c r="B3" i="10"/>
  <c r="A1" i="10" s="1"/>
  <c r="B7" i="2"/>
  <c r="B5" i="2"/>
  <c r="B4" i="2"/>
  <c r="B3" i="2"/>
  <c r="B2" i="2"/>
  <c r="A1" i="1"/>
  <c r="A1" i="2" l="1"/>
</calcChain>
</file>

<file path=xl/sharedStrings.xml><?xml version="1.0" encoding="utf-8"?>
<sst xmlns="http://schemas.openxmlformats.org/spreadsheetml/2006/main" count="725" uniqueCount="141">
  <si>
    <t>Analyte:</t>
  </si>
  <si>
    <t>NT-proBNP</t>
  </si>
  <si>
    <t>Instrument:</t>
  </si>
  <si>
    <t>Vitros 5600</t>
  </si>
  <si>
    <t>Instrument S/N:</t>
  </si>
  <si>
    <t>Purpose:</t>
  </si>
  <si>
    <t>This method serves to bringing in-house BNP testing for heart failure assessments</t>
  </si>
  <si>
    <t>Unit of Measure:</t>
  </si>
  <si>
    <t>ng/L</t>
  </si>
  <si>
    <t>The complete evaluation consists of:</t>
  </si>
  <si>
    <t>1)</t>
  </si>
  <si>
    <t>Precision Studies over 20 days, Running Each Level Duplicates, Across 2 Runs; Total 80 points</t>
  </si>
  <si>
    <t>2)</t>
  </si>
  <si>
    <t>Accuracy by Method Comparison ( 20 - 40 samples minimum)</t>
  </si>
  <si>
    <t xml:space="preserve">3) </t>
  </si>
  <si>
    <t>Linearity (See Corresponding Tab)</t>
  </si>
  <si>
    <t>4)</t>
  </si>
  <si>
    <t>Reference Interval Verification (See Corresponding Tab) - only on recommendation from biochemist</t>
  </si>
  <si>
    <t>Additional Studies Include:</t>
  </si>
  <si>
    <t>Accuracy by Method Comparison</t>
  </si>
  <si>
    <t>Test Method 1:</t>
  </si>
  <si>
    <t>Principle</t>
  </si>
  <si>
    <t>Reagent Lot #:</t>
  </si>
  <si>
    <t>#032200</t>
  </si>
  <si>
    <t>Calibrator Lot #:</t>
  </si>
  <si>
    <t>#0132</t>
  </si>
  <si>
    <t>Primary Reference Method:</t>
  </si>
  <si>
    <t>Reagent Lot# (If available from Ref Lab)</t>
  </si>
  <si>
    <t>Calibrator Lot# (If available from Ref Lab)</t>
  </si>
  <si>
    <t>Instructions</t>
  </si>
  <si>
    <t>Part 1</t>
  </si>
  <si>
    <t>Please use 20 serum (SST) and 20 EDTA plasma samples</t>
  </si>
  <si>
    <t>a.</t>
  </si>
  <si>
    <t>Please ensure the instrument is ready to report in SI units</t>
  </si>
  <si>
    <t>b.</t>
  </si>
  <si>
    <t>Ensure the lower end of the AMR is set to 0</t>
  </si>
  <si>
    <t>Ensure QC has passed for the day and instrument is in working order.</t>
  </si>
  <si>
    <t>c.</t>
  </si>
  <si>
    <t>Run equal number of patient samples over the course of 5 days on the Test Method and Reference Method</t>
  </si>
  <si>
    <t>d.</t>
  </si>
  <si>
    <t>Jot down the results table below.</t>
  </si>
  <si>
    <t>Note:</t>
  </si>
  <si>
    <t>If calibrator or reagent lot number changes during course of study, please make note of this in the comment column</t>
  </si>
  <si>
    <t>Matrix (U/S)</t>
  </si>
  <si>
    <t>Sample No.</t>
  </si>
  <si>
    <t>Sample ID</t>
  </si>
  <si>
    <t>Primary Refence Method Result</t>
  </si>
  <si>
    <t>Test Method Result</t>
  </si>
  <si>
    <t>Tube Type (e.g. SST/EDTA)</t>
  </si>
  <si>
    <t>Day</t>
  </si>
  <si>
    <t>Comments</t>
  </si>
  <si>
    <t>S</t>
  </si>
  <si>
    <t>SST</t>
  </si>
  <si>
    <t>Analytes:</t>
  </si>
  <si>
    <t>Matrix</t>
  </si>
  <si>
    <t>Serum</t>
  </si>
  <si>
    <t>Instructions for Precision Studies</t>
  </si>
  <si>
    <t>QC Lot Level 1</t>
  </si>
  <si>
    <t>QC Lot Level 3</t>
  </si>
  <si>
    <t>QC Lot Level 4</t>
  </si>
  <si>
    <t>N/A</t>
  </si>
  <si>
    <t xml:space="preserve">Perform assay calibration on the first day. For each day, run each level of QC across 2 runs, each run in duplicate. </t>
  </si>
  <si>
    <t xml:space="preserve">One run ideally in the morning (Run 1) with duplicate measurements &amp; and another in PM (Run 2). </t>
  </si>
  <si>
    <t>Indicate any calibration. Ensure there is no change in QC Lot# throughout this study.</t>
  </si>
  <si>
    <t xml:space="preserve">Note: </t>
  </si>
  <si>
    <t>Please note calibrator, reagent, or QC lot number changes</t>
  </si>
  <si>
    <t>Level 1</t>
  </si>
  <si>
    <t>Level 3</t>
  </si>
  <si>
    <t>Level 4</t>
  </si>
  <si>
    <t>Run</t>
  </si>
  <si>
    <t>Replicate</t>
  </si>
  <si>
    <t>Date</t>
  </si>
  <si>
    <t>Result</t>
  </si>
  <si>
    <t>Calibration(Y/N)</t>
  </si>
  <si>
    <t>14/1/26</t>
  </si>
  <si>
    <t>N</t>
  </si>
  <si>
    <t>15/1/26</t>
  </si>
  <si>
    <t>16/1/26</t>
  </si>
  <si>
    <t>17/1/26</t>
  </si>
  <si>
    <t>18/1/26</t>
  </si>
  <si>
    <t>19/1/26</t>
  </si>
  <si>
    <t>20/1/26</t>
  </si>
  <si>
    <t>21/1/26</t>
  </si>
  <si>
    <t>22/1/26</t>
  </si>
  <si>
    <t>23/1/26</t>
  </si>
  <si>
    <t>Y new lot# 032250</t>
  </si>
  <si>
    <t>15/2/26</t>
  </si>
  <si>
    <t>16/2/26</t>
  </si>
  <si>
    <t>19/2/26</t>
  </si>
  <si>
    <t>20/2/26</t>
  </si>
  <si>
    <t>21/2/26</t>
  </si>
  <si>
    <t>22/2/26</t>
  </si>
  <si>
    <t>23/2/26</t>
  </si>
  <si>
    <t>23/2/23</t>
  </si>
  <si>
    <t>24/2/26</t>
  </si>
  <si>
    <t>25/2/26</t>
  </si>
  <si>
    <t>26/2/26</t>
  </si>
  <si>
    <t>Matrix:</t>
  </si>
  <si>
    <t>Package Insert AMI:</t>
  </si>
  <si>
    <t>Extended AMI (from insert):</t>
  </si>
  <si>
    <t>Name of Linearity Material:</t>
  </si>
  <si>
    <t>Lot# :</t>
  </si>
  <si>
    <t>Company (e.g. CAP, Maine):</t>
  </si>
  <si>
    <t>Levels</t>
  </si>
  <si>
    <t>Measured Result</t>
  </si>
  <si>
    <t>Average</t>
  </si>
  <si>
    <t>Refernece Interval (RI) Adoption Method:</t>
  </si>
  <si>
    <t>Selected Options (1-5):</t>
  </si>
  <si>
    <t>1. Transference via Method Equivalence</t>
  </si>
  <si>
    <t>2. Verification by 20 - 40 Ostensibily Health Individuals</t>
  </si>
  <si>
    <t>3. Therapeutic interval from clinical input</t>
  </si>
  <si>
    <t>4. Therapeutic interval from manufacturer</t>
  </si>
  <si>
    <t>5. Other (Explain)</t>
  </si>
  <si>
    <t>Adoption of Medical Decision Points from Clinical Cut-offs</t>
  </si>
  <si>
    <t>Current RI:</t>
  </si>
  <si>
    <t>Current Source of RI:</t>
  </si>
  <si>
    <t>Proposed RI</t>
  </si>
  <si>
    <t>Proposed Source of RI:</t>
  </si>
  <si>
    <t>Healthy Individual #</t>
  </si>
  <si>
    <t>Gender</t>
  </si>
  <si>
    <t>Age</t>
  </si>
  <si>
    <t>Bacrode</t>
  </si>
  <si>
    <t>Specimen#</t>
  </si>
  <si>
    <t>Abbott Alinity i</t>
  </si>
  <si>
    <t>Linearity Study</t>
  </si>
  <si>
    <t>NOTE:</t>
  </si>
  <si>
    <t xml:space="preserve"> If no linearity material is commercially available, one can use a high patient pool with dilution studies.</t>
  </si>
  <si>
    <t>Instructions:</t>
  </si>
  <si>
    <t>Follow manufacturer instructions. Generally expect 3 replicates per level.</t>
  </si>
  <si>
    <t>If available, provide the expected mean and/or range from the manufacturer</t>
  </si>
  <si>
    <t>Expected Mean</t>
  </si>
  <si>
    <t>Expected Range</t>
  </si>
  <si>
    <t>Level 2</t>
  </si>
  <si>
    <t>Level 5</t>
  </si>
  <si>
    <r>
      <rPr>
        <b/>
        <sz val="11"/>
        <color rgb="FF006100"/>
        <rFont val="Calibri"/>
        <family val="2"/>
        <scheme val="minor"/>
      </rPr>
      <t xml:space="preserve">Pass Criteria: </t>
    </r>
    <r>
      <rPr>
        <sz val="11"/>
        <color rgb="FF006100"/>
        <rFont val="Calibri"/>
        <family val="2"/>
        <scheme val="minor"/>
      </rPr>
      <t xml:space="preserve">Use ordinary least square regression, orthoglonal or non-parametric regression model to assess the correlation. Pearson R &gt; 0.90 and expected differences should be within allowable performance limits (APL). 
Analytical Measurement Interval (AMI) verified is the minimum and maximum range of levels examined + error associated at the lower and upper limits.
Allowable performance limits from:  Review - Proficiency Testing Precision Goals and Allowable Performance Limits for Chemistry and Hematology. Revision date: 2022-05-10. </t>
    </r>
  </si>
  <si>
    <t>nmol/L</t>
  </si>
  <si>
    <t>Level 6</t>
  </si>
  <si>
    <t>Level 7</t>
  </si>
  <si>
    <t>Level 8</t>
  </si>
  <si>
    <t>Level 9</t>
  </si>
  <si>
    <t>Level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</si>
</sst>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7" x14ac:knownFonts="1">
    <font>
      <sz val="11"/>
      <color theme="1"/>
      <name val="Calibri"/>
      <family val="2"/>
      <scheme val="minor"/>
    </font>
    <font>
      <b/>
      <sz val="11"/>
      <color rgb="FF00B050"/>
      <name val="Aptos Narrow"/>
      <family val="2"/>
    </font>
    <font>
      <b/>
      <sz val="11"/>
      <color rgb="FF000000"/>
      <name val="Aptos Narrow"/>
      <family val="2"/>
    </font>
    <font>
      <b/>
      <sz val="12"/>
      <color rgb="FF196B24"/>
      <name val="Aptos Narrow"/>
      <family val="2"/>
    </font>
    <font>
      <sz val="11"/>
      <color rgb="FF3F3F76"/>
      <name val="Aptos Narrow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b/>
      <sz val="11"/>
      <color rgb="FF3F3F76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0"/>
      <color rgb="FFFF0000"/>
      <name val="Aptos Narrow"/>
      <family val="2"/>
    </font>
    <font>
      <sz val="11"/>
      <color rgb="FF78206E"/>
      <name val="Aptos Narrow"/>
      <family val="2"/>
    </font>
    <font>
      <sz val="11"/>
      <color rgb="FF3B7D23"/>
      <name val="Aptos Narrow"/>
      <family val="2"/>
    </font>
    <font>
      <sz val="11"/>
      <color rgb="FF104862"/>
      <name val="Aptos Narrow"/>
      <family val="2"/>
    </font>
    <font>
      <sz val="9"/>
      <color rgb="FF3F3F76"/>
      <name val="Aptos Narrow"/>
      <family val="2"/>
    </font>
    <font>
      <sz val="10"/>
      <color rgb="FF000000"/>
      <name val="Aptos Narrow"/>
      <family val="2"/>
    </font>
    <font>
      <sz val="12"/>
      <color rgb="FF000000"/>
      <name val="Aptos Narrow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7030A0"/>
      <name val="Aptos Narrow"/>
      <family val="2"/>
    </font>
    <font>
      <sz val="12"/>
      <color rgb="FFFF0000"/>
      <name val="Aptos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26"/>
      <color rgb="FF002060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Calibri"/>
      <family val="2"/>
    </font>
    <font>
      <b/>
      <sz val="10"/>
      <name val="Aptos Narrow"/>
      <family val="2"/>
    </font>
    <font>
      <sz val="11"/>
      <name val="Calibri"/>
      <family val="2"/>
      <scheme val="minor"/>
    </font>
    <font>
      <sz val="10"/>
      <name val="Aptos Narrow"/>
      <family val="2"/>
    </font>
    <font>
      <b/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</patternFill>
    </fill>
    <fill>
      <patternFill patternType="solid">
        <fgColor rgb="FFD9F2D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6">
    <xf numFmtId="0" fontId="0" fillId="0" borderId="0"/>
    <xf numFmtId="0" fontId="24" fillId="0" borderId="1"/>
    <xf numFmtId="0" fontId="27" fillId="2" borderId="2" applyNumberFormat="0" applyAlignment="0" applyProtection="0"/>
    <xf numFmtId="0" fontId="25" fillId="11" borderId="0" applyNumberFormat="0" applyBorder="0" applyAlignment="0" applyProtection="0"/>
    <xf numFmtId="0" fontId="25" fillId="0" borderId="1"/>
    <xf numFmtId="0" fontId="26" fillId="10" borderId="1" applyNumberFormat="0" applyBorder="0" applyAlignment="0" applyProtection="0"/>
  </cellStyleXfs>
  <cellXfs count="212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3" fontId="7" fillId="2" borderId="2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6" fillId="0" borderId="1" xfId="0" applyNumberFormat="1" applyFont="1" applyBorder="1" applyAlignment="1">
      <alignment horizontal="right"/>
    </xf>
    <xf numFmtId="3" fontId="3" fillId="2" borderId="2" xfId="0" applyNumberFormat="1" applyFont="1" applyFill="1" applyBorder="1" applyAlignment="1">
      <alignment horizontal="left"/>
    </xf>
    <xf numFmtId="3" fontId="0" fillId="0" borderId="0" xfId="0" applyNumberFormat="1"/>
    <xf numFmtId="4" fontId="6" fillId="0" borderId="1" xfId="0" applyNumberFormat="1" applyFont="1" applyBorder="1" applyAlignment="1">
      <alignment horizontal="right"/>
    </xf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4" fillId="2" borderId="2" xfId="0" applyNumberFormat="1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14" fontId="0" fillId="0" borderId="0" xfId="0" applyNumberFormat="1"/>
    <xf numFmtId="14" fontId="6" fillId="0" borderId="1" xfId="0" applyNumberFormat="1" applyFont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3" fontId="14" fillId="2" borderId="2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/>
    </xf>
    <xf numFmtId="3" fontId="15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left" wrapText="1"/>
    </xf>
    <xf numFmtId="3" fontId="14" fillId="2" borderId="1" xfId="0" applyNumberFormat="1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3" fontId="14" fillId="2" borderId="6" xfId="0" applyNumberFormat="1" applyFont="1" applyFill="1" applyBorder="1" applyAlignment="1">
      <alignment horizontal="left"/>
    </xf>
    <xf numFmtId="3" fontId="4" fillId="2" borderId="6" xfId="0" applyNumberFormat="1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17" fillId="0" borderId="0" xfId="0" applyFont="1"/>
    <xf numFmtId="3" fontId="16" fillId="0" borderId="1" xfId="0" applyNumberFormat="1" applyFont="1" applyBorder="1" applyAlignment="1">
      <alignment horizontal="left"/>
    </xf>
    <xf numFmtId="3" fontId="17" fillId="0" borderId="0" xfId="0" applyNumberFormat="1" applyFont="1" applyAlignment="1">
      <alignment horizontal="right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16" fillId="0" borderId="1" xfId="0" applyNumberFormat="1" applyFont="1" applyBorder="1"/>
    <xf numFmtId="3" fontId="16" fillId="0" borderId="1" xfId="0" applyNumberFormat="1" applyFont="1" applyBorder="1" applyAlignment="1">
      <alignment vertical="center"/>
    </xf>
    <xf numFmtId="3" fontId="16" fillId="0" borderId="1" xfId="0" applyNumberFormat="1" applyFont="1" applyBorder="1" applyAlignment="1">
      <alignment vertical="top"/>
    </xf>
    <xf numFmtId="3" fontId="4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19" fillId="0" borderId="0" xfId="0" applyNumberFormat="1" applyFont="1"/>
    <xf numFmtId="14" fontId="19" fillId="0" borderId="0" xfId="0" applyNumberFormat="1" applyFont="1"/>
    <xf numFmtId="3" fontId="1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3" fontId="19" fillId="0" borderId="6" xfId="0" applyNumberFormat="1" applyFont="1" applyBorder="1" applyAlignment="1">
      <alignment horizontal="center"/>
    </xf>
    <xf numFmtId="3" fontId="19" fillId="5" borderId="6" xfId="0" applyNumberFormat="1" applyFont="1" applyFill="1" applyBorder="1" applyAlignment="1">
      <alignment horizontal="center"/>
    </xf>
    <xf numFmtId="14" fontId="19" fillId="5" borderId="6" xfId="0" applyNumberFormat="1" applyFont="1" applyFill="1" applyBorder="1"/>
    <xf numFmtId="3" fontId="19" fillId="5" borderId="6" xfId="0" applyNumberFormat="1" applyFont="1" applyFill="1" applyBorder="1"/>
    <xf numFmtId="3" fontId="0" fillId="0" borderId="6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4" fontId="6" fillId="5" borderId="6" xfId="0" applyNumberFormat="1" applyFont="1" applyFill="1" applyBorder="1" applyAlignment="1">
      <alignment horizontal="center"/>
    </xf>
    <xf numFmtId="3" fontId="0" fillId="5" borderId="6" xfId="0" applyNumberFormat="1" applyFill="1" applyBorder="1"/>
    <xf numFmtId="3" fontId="6" fillId="5" borderId="6" xfId="0" applyNumberFormat="1" applyFont="1" applyFill="1" applyBorder="1" applyAlignment="1">
      <alignment horizontal="right"/>
    </xf>
    <xf numFmtId="4" fontId="6" fillId="5" borderId="6" xfId="0" applyNumberFormat="1" applyFont="1" applyFill="1" applyBorder="1" applyAlignment="1">
      <alignment horizontal="right"/>
    </xf>
    <xf numFmtId="3" fontId="20" fillId="0" borderId="6" xfId="0" applyNumberFormat="1" applyFont="1" applyBorder="1" applyAlignment="1">
      <alignment horizontal="center"/>
    </xf>
    <xf numFmtId="3" fontId="20" fillId="6" borderId="6" xfId="0" applyNumberFormat="1" applyFont="1" applyFill="1" applyBorder="1" applyAlignment="1">
      <alignment horizontal="center"/>
    </xf>
    <xf numFmtId="14" fontId="20" fillId="6" borderId="6" xfId="0" applyNumberFormat="1" applyFont="1" applyFill="1" applyBorder="1" applyAlignment="1">
      <alignment horizontal="center"/>
    </xf>
    <xf numFmtId="3" fontId="19" fillId="6" borderId="6" xfId="0" applyNumberFormat="1" applyFont="1" applyFill="1" applyBorder="1"/>
    <xf numFmtId="3" fontId="6" fillId="0" borderId="6" xfId="0" applyNumberFormat="1" applyFont="1" applyBorder="1" applyAlignment="1">
      <alignment horizontal="center"/>
    </xf>
    <xf numFmtId="3" fontId="6" fillId="6" borderId="6" xfId="0" applyNumberFormat="1" applyFont="1" applyFill="1" applyBorder="1" applyAlignment="1">
      <alignment horizontal="center"/>
    </xf>
    <xf numFmtId="14" fontId="6" fillId="6" borderId="6" xfId="0" applyNumberFormat="1" applyFont="1" applyFill="1" applyBorder="1" applyAlignment="1">
      <alignment horizontal="center"/>
    </xf>
    <xf numFmtId="3" fontId="6" fillId="6" borderId="6" xfId="0" applyNumberFormat="1" applyFont="1" applyFill="1" applyBorder="1" applyAlignment="1">
      <alignment horizontal="right"/>
    </xf>
    <xf numFmtId="4" fontId="6" fillId="6" borderId="6" xfId="0" applyNumberFormat="1" applyFont="1" applyFill="1" applyBorder="1" applyAlignment="1">
      <alignment horizontal="right"/>
    </xf>
    <xf numFmtId="3" fontId="0" fillId="6" borderId="6" xfId="0" applyNumberFormat="1" applyFill="1" applyBorder="1"/>
    <xf numFmtId="3" fontId="19" fillId="0" borderId="6" xfId="0" applyNumberFormat="1" applyFont="1" applyBorder="1"/>
    <xf numFmtId="3" fontId="19" fillId="7" borderId="6" xfId="0" applyNumberFormat="1" applyFont="1" applyFill="1" applyBorder="1"/>
    <xf numFmtId="14" fontId="19" fillId="7" borderId="6" xfId="0" applyNumberFormat="1" applyFont="1" applyFill="1" applyBorder="1"/>
    <xf numFmtId="3" fontId="0" fillId="7" borderId="6" xfId="0" applyNumberFormat="1" applyFill="1" applyBorder="1" applyAlignment="1">
      <alignment horizontal="center"/>
    </xf>
    <xf numFmtId="14" fontId="6" fillId="7" borderId="6" xfId="0" applyNumberFormat="1" applyFont="1" applyFill="1" applyBorder="1" applyAlignment="1">
      <alignment horizontal="center"/>
    </xf>
    <xf numFmtId="3" fontId="0" fillId="7" borderId="6" xfId="0" applyNumberFormat="1" applyFill="1" applyBorder="1"/>
    <xf numFmtId="3" fontId="6" fillId="7" borderId="6" xfId="0" applyNumberFormat="1" applyFont="1" applyFill="1" applyBorder="1" applyAlignment="1">
      <alignment horizontal="right"/>
    </xf>
    <xf numFmtId="4" fontId="6" fillId="7" borderId="6" xfId="0" applyNumberFormat="1" applyFont="1" applyFill="1" applyBorder="1" applyAlignment="1">
      <alignment horizontal="right"/>
    </xf>
    <xf numFmtId="3" fontId="6" fillId="7" borderId="6" xfId="0" applyNumberFormat="1" applyFont="1" applyFill="1" applyBorder="1" applyAlignment="1">
      <alignment horizontal="center"/>
    </xf>
    <xf numFmtId="3" fontId="13" fillId="8" borderId="5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3" fontId="21" fillId="0" borderId="1" xfId="0" applyNumberFormat="1" applyFont="1" applyBorder="1" applyAlignment="1">
      <alignment horizontal="left"/>
    </xf>
    <xf numFmtId="3" fontId="18" fillId="0" borderId="0" xfId="0" applyNumberFormat="1" applyFont="1"/>
    <xf numFmtId="0" fontId="22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 wrapText="1"/>
    </xf>
    <xf numFmtId="3" fontId="9" fillId="0" borderId="1" xfId="0" applyNumberFormat="1" applyFont="1" applyBorder="1" applyAlignment="1">
      <alignment horizontal="left"/>
    </xf>
    <xf numFmtId="3" fontId="18" fillId="0" borderId="0" xfId="0" applyNumberFormat="1" applyFont="1" applyAlignment="1">
      <alignment horizontal="right"/>
    </xf>
    <xf numFmtId="3" fontId="10" fillId="0" borderId="1" xfId="0" applyNumberFormat="1" applyFont="1" applyBorder="1" applyAlignment="1">
      <alignment horizontal="left"/>
    </xf>
    <xf numFmtId="3" fontId="9" fillId="0" borderId="1" xfId="0" applyNumberFormat="1" applyFont="1" applyBorder="1"/>
    <xf numFmtId="3" fontId="23" fillId="0" borderId="1" xfId="0" applyNumberFormat="1" applyFont="1" applyBorder="1" applyAlignment="1">
      <alignment horizontal="left" vertical="center"/>
    </xf>
    <xf numFmtId="3" fontId="23" fillId="0" borderId="1" xfId="0" applyNumberFormat="1" applyFont="1" applyBorder="1"/>
    <xf numFmtId="3" fontId="23" fillId="0" borderId="1" xfId="0" applyNumberFormat="1" applyFont="1" applyBorder="1" applyAlignment="1">
      <alignment vertical="center"/>
    </xf>
    <xf numFmtId="3" fontId="18" fillId="0" borderId="0" xfId="0" applyNumberFormat="1" applyFont="1" applyAlignment="1">
      <alignment wrapText="1"/>
    </xf>
    <xf numFmtId="3" fontId="23" fillId="0" borderId="1" xfId="0" applyNumberFormat="1" applyFont="1" applyBorder="1" applyAlignment="1">
      <alignment horizontal="left"/>
    </xf>
    <xf numFmtId="3" fontId="23" fillId="0" borderId="1" xfId="0" applyNumberFormat="1" applyFont="1" applyBorder="1" applyAlignment="1">
      <alignment vertical="top"/>
    </xf>
    <xf numFmtId="3" fontId="5" fillId="9" borderId="2" xfId="0" applyNumberFormat="1" applyFont="1" applyFill="1" applyBorder="1" applyAlignment="1">
      <alignment horizontal="left"/>
    </xf>
    <xf numFmtId="3" fontId="4" fillId="9" borderId="2" xfId="0" applyNumberFormat="1" applyFont="1" applyFill="1" applyBorder="1"/>
    <xf numFmtId="3" fontId="6" fillId="9" borderId="3" xfId="0" applyNumberFormat="1" applyFont="1" applyFill="1" applyBorder="1"/>
    <xf numFmtId="3" fontId="6" fillId="9" borderId="4" xfId="0" applyNumberFormat="1" applyFont="1" applyFill="1" applyBorder="1"/>
    <xf numFmtId="0" fontId="0" fillId="9" borderId="0" xfId="0" applyFill="1"/>
    <xf numFmtId="3" fontId="0" fillId="9" borderId="0" xfId="0" applyNumberFormat="1" applyFill="1" applyAlignment="1">
      <alignment horizontal="center"/>
    </xf>
    <xf numFmtId="1" fontId="4" fillId="2" borderId="2" xfId="0" applyNumberFormat="1" applyFont="1" applyFill="1" applyBorder="1" applyAlignment="1">
      <alignment horizontal="left"/>
    </xf>
    <xf numFmtId="1" fontId="4" fillId="2" borderId="2" xfId="0" applyNumberFormat="1" applyFont="1" applyFill="1" applyBorder="1" applyAlignment="1">
      <alignment horizontal="right"/>
    </xf>
    <xf numFmtId="1" fontId="11" fillId="5" borderId="5" xfId="0" applyNumberFormat="1" applyFont="1" applyFill="1" applyBorder="1" applyAlignment="1">
      <alignment horizontal="right"/>
    </xf>
    <xf numFmtId="1" fontId="12" fillId="4" borderId="5" xfId="0" applyNumberFormat="1" applyFont="1" applyFill="1" applyBorder="1" applyAlignment="1">
      <alignment horizontal="right"/>
    </xf>
    <xf numFmtId="1" fontId="13" fillId="7" borderId="5" xfId="0" applyNumberFormat="1" applyFont="1" applyFill="1" applyBorder="1" applyAlignment="1">
      <alignment horizontal="right"/>
    </xf>
    <xf numFmtId="3" fontId="0" fillId="5" borderId="11" xfId="0" applyNumberFormat="1" applyFill="1" applyBorder="1"/>
    <xf numFmtId="14" fontId="6" fillId="5" borderId="12" xfId="0" applyNumberFormat="1" applyFont="1" applyFill="1" applyBorder="1" applyAlignment="1">
      <alignment horizontal="center"/>
    </xf>
    <xf numFmtId="3" fontId="6" fillId="5" borderId="13" xfId="0" applyNumberFormat="1" applyFont="1" applyFill="1" applyBorder="1" applyAlignment="1">
      <alignment horizontal="right"/>
    </xf>
    <xf numFmtId="3" fontId="6" fillId="5" borderId="7" xfId="0" applyNumberFormat="1" applyFont="1" applyFill="1" applyBorder="1" applyAlignment="1">
      <alignment horizontal="right"/>
    </xf>
    <xf numFmtId="3" fontId="6" fillId="5" borderId="14" xfId="0" applyNumberFormat="1" applyFont="1" applyFill="1" applyBorder="1" applyAlignment="1">
      <alignment horizontal="right"/>
    </xf>
    <xf numFmtId="3" fontId="0" fillId="6" borderId="11" xfId="0" applyNumberFormat="1" applyFill="1" applyBorder="1"/>
    <xf numFmtId="14" fontId="6" fillId="6" borderId="12" xfId="0" applyNumberFormat="1" applyFont="1" applyFill="1" applyBorder="1" applyAlignment="1">
      <alignment horizontal="center"/>
    </xf>
    <xf numFmtId="3" fontId="6" fillId="6" borderId="13" xfId="0" applyNumberFormat="1" applyFont="1" applyFill="1" applyBorder="1" applyAlignment="1">
      <alignment horizontal="right"/>
    </xf>
    <xf numFmtId="3" fontId="6" fillId="6" borderId="7" xfId="0" applyNumberFormat="1" applyFont="1" applyFill="1" applyBorder="1" applyAlignment="1">
      <alignment horizontal="right"/>
    </xf>
    <xf numFmtId="3" fontId="0" fillId="7" borderId="11" xfId="0" applyNumberFormat="1" applyFill="1" applyBorder="1"/>
    <xf numFmtId="14" fontId="6" fillId="7" borderId="12" xfId="0" applyNumberFormat="1" applyFont="1" applyFill="1" applyBorder="1" applyAlignment="1">
      <alignment horizontal="center"/>
    </xf>
    <xf numFmtId="3" fontId="6" fillId="7" borderId="13" xfId="0" applyNumberFormat="1" applyFont="1" applyFill="1" applyBorder="1" applyAlignment="1">
      <alignment horizontal="right"/>
    </xf>
    <xf numFmtId="3" fontId="6" fillId="7" borderId="7" xfId="0" applyNumberFormat="1" applyFont="1" applyFill="1" applyBorder="1" applyAlignment="1">
      <alignment horizontal="right"/>
    </xf>
    <xf numFmtId="3" fontId="6" fillId="7" borderId="14" xfId="0" applyNumberFormat="1" applyFont="1" applyFill="1" applyBorder="1" applyAlignment="1">
      <alignment horizontal="right"/>
    </xf>
    <xf numFmtId="14" fontId="0" fillId="6" borderId="11" xfId="0" applyNumberFormat="1" applyFill="1" applyBorder="1" applyAlignment="1">
      <alignment horizontal="center"/>
    </xf>
    <xf numFmtId="3" fontId="6" fillId="6" borderId="12" xfId="0" applyNumberFormat="1" applyFont="1" applyFill="1" applyBorder="1" applyAlignment="1">
      <alignment horizontal="center"/>
    </xf>
    <xf numFmtId="3" fontId="0" fillId="6" borderId="15" xfId="0" applyNumberFormat="1" applyFill="1" applyBorder="1"/>
    <xf numFmtId="3" fontId="6" fillId="6" borderId="10" xfId="0" applyNumberFormat="1" applyFont="1" applyFill="1" applyBorder="1" applyAlignment="1">
      <alignment horizontal="right"/>
    </xf>
    <xf numFmtId="14" fontId="6" fillId="6" borderId="8" xfId="0" applyNumberFormat="1" applyFont="1" applyFill="1" applyBorder="1" applyAlignment="1">
      <alignment horizontal="center"/>
    </xf>
    <xf numFmtId="14" fontId="6" fillId="6" borderId="9" xfId="0" applyNumberFormat="1" applyFon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14" fontId="6" fillId="7" borderId="8" xfId="0" applyNumberFormat="1" applyFont="1" applyFill="1" applyBorder="1" applyAlignment="1">
      <alignment horizontal="center"/>
    </xf>
    <xf numFmtId="14" fontId="6" fillId="7" borderId="9" xfId="0" applyNumberFormat="1" applyFont="1" applyFill="1" applyBorder="1" applyAlignment="1">
      <alignment horizontal="center"/>
    </xf>
    <xf numFmtId="14" fontId="0" fillId="5" borderId="11" xfId="0" applyNumberFormat="1" applyFill="1" applyBorder="1"/>
    <xf numFmtId="3" fontId="0" fillId="5" borderId="12" xfId="0" applyNumberFormat="1" applyFill="1" applyBorder="1" applyAlignment="1">
      <alignment horizontal="center"/>
    </xf>
    <xf numFmtId="3" fontId="0" fillId="5" borderId="15" xfId="0" applyNumberFormat="1" applyFill="1" applyBorder="1"/>
    <xf numFmtId="14" fontId="6" fillId="5" borderId="8" xfId="0" applyNumberFormat="1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14" fontId="6" fillId="7" borderId="11" xfId="0" applyNumberFormat="1" applyFont="1" applyFill="1" applyBorder="1" applyAlignment="1">
      <alignment horizontal="center"/>
    </xf>
    <xf numFmtId="3" fontId="0" fillId="7" borderId="16" xfId="0" applyNumberFormat="1" applyFill="1" applyBorder="1"/>
    <xf numFmtId="0" fontId="5" fillId="3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5" fillId="3" borderId="2" xfId="0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14" fontId="6" fillId="0" borderId="3" xfId="0" applyNumberFormat="1" applyFont="1" applyBorder="1" applyAlignment="1">
      <alignment horizontal="left"/>
    </xf>
    <xf numFmtId="3" fontId="28" fillId="0" borderId="1" xfId="4" applyNumberFormat="1" applyFont="1" applyAlignment="1">
      <alignment horizontal="center" vertical="center"/>
    </xf>
    <xf numFmtId="0" fontId="25" fillId="0" borderId="1" xfId="4"/>
    <xf numFmtId="0" fontId="2" fillId="0" borderId="1" xfId="4" applyFont="1" applyAlignment="1">
      <alignment horizontal="left"/>
    </xf>
    <xf numFmtId="3" fontId="29" fillId="2" borderId="17" xfId="4" applyNumberFormat="1" applyFont="1" applyFill="1" applyBorder="1" applyAlignment="1">
      <alignment horizontal="left"/>
    </xf>
    <xf numFmtId="3" fontId="29" fillId="2" borderId="18" xfId="4" applyNumberFormat="1" applyFont="1" applyFill="1" applyBorder="1" applyAlignment="1">
      <alignment horizontal="left"/>
    </xf>
    <xf numFmtId="3" fontId="30" fillId="2" borderId="18" xfId="4" applyNumberFormat="1" applyFont="1" applyFill="1" applyBorder="1" applyAlignment="1">
      <alignment horizontal="left"/>
    </xf>
    <xf numFmtId="0" fontId="29" fillId="2" borderId="19" xfId="4" applyFont="1" applyFill="1" applyBorder="1" applyAlignment="1">
      <alignment horizontal="left"/>
    </xf>
    <xf numFmtId="0" fontId="8" fillId="0" borderId="1" xfId="4" applyFont="1" applyAlignment="1">
      <alignment horizontal="left"/>
    </xf>
    <xf numFmtId="3" fontId="29" fillId="2" borderId="20" xfId="4" applyNumberFormat="1" applyFont="1" applyFill="1" applyBorder="1" applyAlignment="1">
      <alignment horizontal="left"/>
    </xf>
    <xf numFmtId="3" fontId="29" fillId="2" borderId="21" xfId="4" applyNumberFormat="1" applyFont="1" applyFill="1" applyBorder="1" applyAlignment="1">
      <alignment horizontal="left"/>
    </xf>
    <xf numFmtId="3" fontId="30" fillId="2" borderId="21" xfId="4" applyNumberFormat="1" applyFont="1" applyFill="1" applyBorder="1" applyAlignment="1">
      <alignment horizontal="left"/>
    </xf>
    <xf numFmtId="0" fontId="29" fillId="2" borderId="22" xfId="4" applyFont="1" applyFill="1" applyBorder="1" applyAlignment="1">
      <alignment horizontal="left"/>
    </xf>
    <xf numFmtId="3" fontId="29" fillId="0" borderId="1" xfId="4" applyNumberFormat="1" applyFont="1" applyAlignment="1">
      <alignment horizontal="left"/>
    </xf>
    <xf numFmtId="0" fontId="29" fillId="0" borderId="1" xfId="4" applyFont="1" applyAlignment="1">
      <alignment horizontal="left"/>
    </xf>
    <xf numFmtId="3" fontId="30" fillId="2" borderId="17" xfId="4" applyNumberFormat="1" applyFont="1" applyFill="1" applyBorder="1" applyAlignment="1">
      <alignment horizontal="left"/>
    </xf>
    <xf numFmtId="3" fontId="31" fillId="0" borderId="23" xfId="4" applyNumberFormat="1" applyFont="1" applyBorder="1" applyAlignment="1">
      <alignment horizontal="left"/>
    </xf>
    <xf numFmtId="0" fontId="31" fillId="0" borderId="24" xfId="4" applyFont="1" applyBorder="1" applyAlignment="1">
      <alignment horizontal="left"/>
    </xf>
    <xf numFmtId="0" fontId="32" fillId="0" borderId="1" xfId="4" applyFont="1" applyAlignment="1">
      <alignment horizontal="left"/>
    </xf>
    <xf numFmtId="3" fontId="33" fillId="2" borderId="25" xfId="2" applyNumberFormat="1" applyFont="1" applyBorder="1" applyAlignment="1">
      <alignment horizontal="center"/>
    </xf>
    <xf numFmtId="3" fontId="30" fillId="2" borderId="2" xfId="4" applyNumberFormat="1" applyFont="1" applyFill="1" applyBorder="1" applyAlignment="1">
      <alignment horizontal="left"/>
    </xf>
    <xf numFmtId="0" fontId="30" fillId="2" borderId="26" xfId="4" applyFont="1" applyFill="1" applyBorder="1" applyAlignment="1">
      <alignment horizontal="left"/>
    </xf>
    <xf numFmtId="0" fontId="30" fillId="0" borderId="1" xfId="4" applyFont="1" applyAlignment="1">
      <alignment horizontal="left"/>
    </xf>
    <xf numFmtId="3" fontId="30" fillId="2" borderId="25" xfId="4" applyNumberFormat="1" applyFont="1" applyFill="1" applyBorder="1" applyAlignment="1">
      <alignment horizontal="left"/>
    </xf>
    <xf numFmtId="3" fontId="31" fillId="0" borderId="3" xfId="4" applyNumberFormat="1" applyFont="1" applyBorder="1" applyAlignment="1">
      <alignment horizontal="left"/>
    </xf>
    <xf numFmtId="0" fontId="31" fillId="0" borderId="27" xfId="4" applyFont="1" applyBorder="1" applyAlignment="1">
      <alignment horizontal="left"/>
    </xf>
    <xf numFmtId="0" fontId="34" fillId="0" borderId="1" xfId="4" applyFont="1" applyAlignment="1">
      <alignment horizontal="left"/>
    </xf>
    <xf numFmtId="3" fontId="30" fillId="2" borderId="20" xfId="4" applyNumberFormat="1" applyFont="1" applyFill="1" applyBorder="1" applyAlignment="1">
      <alignment horizontal="left"/>
    </xf>
    <xf numFmtId="3" fontId="31" fillId="0" borderId="28" xfId="4" applyNumberFormat="1" applyFont="1" applyBorder="1" applyAlignment="1">
      <alignment horizontal="left"/>
    </xf>
    <xf numFmtId="0" fontId="31" fillId="0" borderId="29" xfId="4" applyFont="1" applyBorder="1" applyAlignment="1">
      <alignment horizontal="left"/>
    </xf>
    <xf numFmtId="0" fontId="19" fillId="0" borderId="1" xfId="4" applyFont="1"/>
    <xf numFmtId="3" fontId="19" fillId="0" borderId="1" xfId="4" applyNumberFormat="1" applyFont="1" applyAlignment="1">
      <alignment horizontal="left"/>
    </xf>
    <xf numFmtId="3" fontId="25" fillId="0" borderId="1" xfId="4" applyNumberFormat="1"/>
    <xf numFmtId="3" fontId="25" fillId="0" borderId="1" xfId="4" applyNumberFormat="1" applyAlignment="1">
      <alignment horizontal="center"/>
    </xf>
    <xf numFmtId="3" fontId="33" fillId="2" borderId="30" xfId="2" applyNumberFormat="1" applyFont="1" applyBorder="1" applyAlignment="1">
      <alignment horizontal="left"/>
    </xf>
    <xf numFmtId="3" fontId="33" fillId="2" borderId="31" xfId="2" applyNumberFormat="1" applyFont="1" applyBorder="1" applyAlignment="1">
      <alignment horizontal="left"/>
    </xf>
    <xf numFmtId="3" fontId="33" fillId="2" borderId="32" xfId="2" applyNumberFormat="1" applyFont="1" applyBorder="1" applyAlignment="1">
      <alignment horizontal="left"/>
    </xf>
    <xf numFmtId="3" fontId="33" fillId="2" borderId="20" xfId="2" applyNumberFormat="1" applyFont="1" applyBorder="1" applyAlignment="1">
      <alignment horizontal="left"/>
    </xf>
    <xf numFmtId="3" fontId="33" fillId="2" borderId="21" xfId="2" applyNumberFormat="1" applyFont="1" applyBorder="1" applyAlignment="1">
      <alignment horizontal="left"/>
    </xf>
    <xf numFmtId="3" fontId="33" fillId="2" borderId="22" xfId="2" applyNumberFormat="1" applyFont="1" applyBorder="1" applyAlignment="1">
      <alignment horizontal="left"/>
    </xf>
    <xf numFmtId="3" fontId="6" fillId="0" borderId="1" xfId="4" applyNumberFormat="1" applyFont="1" applyAlignment="1">
      <alignment horizontal="right"/>
    </xf>
    <xf numFmtId="166" fontId="6" fillId="0" borderId="1" xfId="4" applyNumberFormat="1" applyFont="1" applyAlignment="1">
      <alignment horizontal="right"/>
    </xf>
    <xf numFmtId="3" fontId="26" fillId="10" borderId="33" xfId="5" applyNumberFormat="1" applyBorder="1" applyAlignment="1">
      <alignment horizontal="left" vertical="top" wrapText="1"/>
    </xf>
    <xf numFmtId="3" fontId="26" fillId="10" borderId="34" xfId="5" applyNumberFormat="1" applyBorder="1" applyAlignment="1">
      <alignment horizontal="left" vertical="top" wrapText="1"/>
    </xf>
    <xf numFmtId="3" fontId="26" fillId="10" borderId="35" xfId="5" applyNumberFormat="1" applyBorder="1" applyAlignment="1">
      <alignment horizontal="left" vertical="top" wrapText="1"/>
    </xf>
    <xf numFmtId="3" fontId="26" fillId="10" borderId="36" xfId="5" applyNumberFormat="1" applyBorder="1" applyAlignment="1">
      <alignment horizontal="left" vertical="top" wrapText="1"/>
    </xf>
    <xf numFmtId="3" fontId="26" fillId="10" borderId="1" xfId="5" applyNumberFormat="1" applyBorder="1" applyAlignment="1">
      <alignment horizontal="left" vertical="top" wrapText="1"/>
    </xf>
    <xf numFmtId="3" fontId="26" fillId="10" borderId="37" xfId="5" applyNumberFormat="1" applyBorder="1" applyAlignment="1">
      <alignment horizontal="left" vertical="top" wrapText="1"/>
    </xf>
    <xf numFmtId="3" fontId="26" fillId="10" borderId="38" xfId="5" applyNumberFormat="1" applyBorder="1" applyAlignment="1">
      <alignment horizontal="left" vertical="top" wrapText="1"/>
    </xf>
    <xf numFmtId="3" fontId="26" fillId="10" borderId="39" xfId="5" applyNumberFormat="1" applyBorder="1" applyAlignment="1">
      <alignment horizontal="left" vertical="top" wrapText="1"/>
    </xf>
    <xf numFmtId="3" fontId="26" fillId="10" borderId="40" xfId="5" applyNumberFormat="1" applyBorder="1" applyAlignment="1">
      <alignment horizontal="left" vertical="top" wrapText="1"/>
    </xf>
    <xf numFmtId="0" fontId="25" fillId="11" borderId="1" xfId="3" applyBorder="1"/>
    <xf numFmtId="3" fontId="25" fillId="11" borderId="1" xfId="3" applyNumberFormat="1" applyBorder="1" applyAlignment="1">
      <alignment horizontal="center"/>
    </xf>
    <xf numFmtId="0" fontId="26" fillId="10" borderId="1" xfId="5"/>
    <xf numFmtId="3" fontId="26" fillId="10" borderId="1" xfId="5" applyNumberFormat="1" applyAlignment="1">
      <alignment horizontal="center"/>
    </xf>
    <xf numFmtId="166" fontId="29" fillId="2" borderId="18" xfId="4" applyNumberFormat="1" applyFont="1" applyFill="1" applyBorder="1" applyAlignment="1">
      <alignment horizontal="left"/>
    </xf>
    <xf numFmtId="166" fontId="29" fillId="2" borderId="21" xfId="4" applyNumberFormat="1" applyFont="1" applyFill="1" applyBorder="1" applyAlignment="1">
      <alignment horizontal="left"/>
    </xf>
    <xf numFmtId="166" fontId="29" fillId="0" borderId="1" xfId="4" applyNumberFormat="1" applyFont="1" applyAlignment="1">
      <alignment horizontal="left"/>
    </xf>
    <xf numFmtId="166" fontId="30" fillId="2" borderId="2" xfId="4" applyNumberFormat="1" applyFont="1" applyFill="1" applyBorder="1" applyAlignment="1">
      <alignment horizontal="left"/>
    </xf>
    <xf numFmtId="166" fontId="25" fillId="0" borderId="1" xfId="4" applyNumberFormat="1"/>
  </cellXfs>
  <cellStyles count="6">
    <cellStyle name="20% - Accent1" xfId="3" builtinId="30"/>
    <cellStyle name="Good 2" xfId="5" xr:uid="{0157145A-059F-4358-91D7-6EA98BBAFD70}"/>
    <cellStyle name="Input" xfId="2" builtinId="20"/>
    <cellStyle name="Normal" xfId="0" builtinId="0"/>
    <cellStyle name="Normal 2" xfId="1" xr:uid="{10A7B9AF-5D44-4A8F-B1AF-38400FFC4B2E}"/>
    <cellStyle name="Normal 3" xfId="4" xr:uid="{A28595C9-E6F6-4DFF-9AAF-80A55F681B02}"/>
  </cellStyles>
  <dxfs count="1">
    <dxf>
      <numFmt numFmtId="166" formatCode="#,##0.000"/>
    </dxf>
  </dxfs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1" displayName="Table1" ref="A44:H91" totalsRowShown="0">
  <autoFilter ref="A44:H91" xr:uid="{00000000-0009-0000-0100-00000A000000}"/>
  <tableColumns count="8">
    <tableColumn id="1" xr3:uid="{00000000-0010-0000-0000-000001000000}" name="Matrix (U/S)"/>
    <tableColumn id="2" xr3:uid="{00000000-0010-0000-0000-000002000000}" name="Sample No."/>
    <tableColumn id="3" xr3:uid="{00000000-0010-0000-0000-000003000000}" name="Sample ID"/>
    <tableColumn id="4" xr3:uid="{00000000-0010-0000-0000-000004000000}" name="Primary Refence Method Result"/>
    <tableColumn id="5" xr3:uid="{00000000-0010-0000-0000-000005000000}" name="Test Method Result"/>
    <tableColumn id="6" xr3:uid="{00000000-0010-0000-0000-000006000000}" name="Tube Type (e.g. SST/EDTA)"/>
    <tableColumn id="7" xr3:uid="{00000000-0010-0000-0000-000007000000}" name="Day"/>
    <tableColumn id="8" xr3:uid="{3819FD0E-600D-402B-9D5F-7616C9DF8F8C}" name="Comment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DA3299-D0D0-425A-8A02-F3E6A4C5A854}" name="Table43" displayName="Table43" ref="A15:F49" totalsRowShown="0">
  <autoFilter ref="A15:F49" xr:uid="{00000000-0009-0000-0100-000002000000}"/>
  <tableColumns count="6">
    <tableColumn id="1" xr3:uid="{F4A79071-0F66-41C2-8772-AC8CF44210EC}" name="Levels"/>
    <tableColumn id="2" xr3:uid="{22C03DAC-E0AC-4097-ACE8-D5161FC2B6E3}" name="Replicate"/>
    <tableColumn id="3" xr3:uid="{E082759A-6253-4B2A-B1C9-2F7C040B5290}" name="Measured Result"/>
    <tableColumn id="4" xr3:uid="{58B09B39-044F-411E-96B8-127F274870BE}" name="Average" dataDxfId="0"/>
    <tableColumn id="5" xr3:uid="{268B30F7-6AC1-4A9B-8B41-E7B2632FDCEE}" name="Expected Mean"/>
    <tableColumn id="6" xr3:uid="{CA8FE3C4-7DE9-456C-8635-FE1C15E492C8}" name="Expected Rang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9000000}" name="Table13" displayName="Table13" ref="A25:F103" totalsRowShown="0">
  <autoFilter ref="A25:F103" xr:uid="{00000000-0009-0000-0100-000001000000}"/>
  <tableColumns count="6">
    <tableColumn id="1" xr3:uid="{00000000-0010-0000-0900-000001000000}" name="Healthy Individual #"/>
    <tableColumn id="2" xr3:uid="{00000000-0010-0000-0900-000002000000}" name="Gender"/>
    <tableColumn id="3" xr3:uid="{00000000-0010-0000-0900-000003000000}" name="Age"/>
    <tableColumn id="4" xr3:uid="{00000000-0010-0000-0900-000004000000}" name="Result"/>
    <tableColumn id="5" xr3:uid="{00000000-0010-0000-0900-000005000000}" name="Bacrode"/>
    <tableColumn id="6" xr3:uid="{00000000-0010-0000-0900-000006000000}" name="Specimen#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1"/>
  <sheetViews>
    <sheetView topLeftCell="A43" workbookViewId="0">
      <selection activeCell="D88" sqref="D88"/>
    </sheetView>
  </sheetViews>
  <sheetFormatPr defaultRowHeight="14.25" x14ac:dyDescent="0.45"/>
  <cols>
    <col min="1" max="1" width="37.46484375" style="20" customWidth="1"/>
    <col min="2" max="2" width="15.53125" style="8" customWidth="1"/>
    <col min="3" max="3" width="13.19921875" style="12" bestFit="1" customWidth="1"/>
    <col min="4" max="4" width="17.19921875" style="12" bestFit="1" customWidth="1"/>
    <col min="5" max="5" width="12.19921875" style="12" bestFit="1" customWidth="1"/>
    <col min="6" max="6" width="13.796875" bestFit="1" customWidth="1"/>
    <col min="7" max="7" width="7.53125" style="8" bestFit="1" customWidth="1"/>
    <col min="8" max="8" width="11.19921875" customWidth="1"/>
  </cols>
  <sheetData>
    <row r="1" spans="1:6" ht="18.75" customHeight="1" x14ac:dyDescent="0.45">
      <c r="A1" s="1" t="str">
        <f>"Verification of " &amp;B2&amp; " on " &amp;B3</f>
        <v>Verification of NT-proBNP on Vitros 5600</v>
      </c>
    </row>
    <row r="2" spans="1:6" ht="15.7" customHeight="1" x14ac:dyDescent="0.5">
      <c r="A2" s="3" t="s">
        <v>0</v>
      </c>
      <c r="B2" s="14" t="s">
        <v>1</v>
      </c>
      <c r="C2" s="5"/>
      <c r="D2" s="5"/>
      <c r="E2" s="5"/>
      <c r="F2" s="4"/>
    </row>
    <row r="3" spans="1:6" ht="18.75" customHeight="1" x14ac:dyDescent="0.45">
      <c r="A3" s="3" t="s">
        <v>2</v>
      </c>
      <c r="B3" s="5" t="s">
        <v>3</v>
      </c>
      <c r="C3" s="5"/>
      <c r="D3" s="5"/>
      <c r="E3" s="5"/>
      <c r="F3" s="4"/>
    </row>
    <row r="4" spans="1:6" ht="18.75" customHeight="1" x14ac:dyDescent="0.45">
      <c r="A4" s="3" t="s">
        <v>4</v>
      </c>
      <c r="B4" s="5">
        <v>1290353</v>
      </c>
      <c r="C4" s="5"/>
      <c r="D4" s="5"/>
      <c r="E4" s="5"/>
      <c r="F4" s="4"/>
    </row>
    <row r="5" spans="1:6" ht="18.75" customHeight="1" x14ac:dyDescent="0.45">
      <c r="A5" s="3" t="s">
        <v>5</v>
      </c>
      <c r="B5" s="149" t="s">
        <v>6</v>
      </c>
      <c r="C5" s="146"/>
      <c r="D5" s="146"/>
      <c r="E5" s="146"/>
      <c r="F5" s="147"/>
    </row>
    <row r="6" spans="1:6" ht="18.75" customHeight="1" x14ac:dyDescent="0.45">
      <c r="B6" s="5"/>
      <c r="C6" s="5"/>
      <c r="D6" s="5"/>
      <c r="E6" s="5"/>
      <c r="F6" s="4"/>
    </row>
    <row r="7" spans="1:6" ht="18.75" customHeight="1" x14ac:dyDescent="0.45">
      <c r="A7" s="3" t="s">
        <v>7</v>
      </c>
      <c r="B7" s="7" t="s">
        <v>8</v>
      </c>
      <c r="C7" s="26"/>
      <c r="D7" s="5"/>
      <c r="E7" s="5"/>
      <c r="F7" s="4"/>
    </row>
    <row r="8" spans="1:6" ht="18.75" customHeight="1" x14ac:dyDescent="0.45">
      <c r="A8" s="3"/>
    </row>
    <row r="9" spans="1:6" ht="18.75" customHeight="1" x14ac:dyDescent="0.45">
      <c r="A9" s="3" t="s">
        <v>9</v>
      </c>
    </row>
    <row r="10" spans="1:6" ht="18.75" customHeight="1" x14ac:dyDescent="0.45">
      <c r="A10" s="20" t="s">
        <v>10</v>
      </c>
      <c r="B10" s="27" t="s">
        <v>11</v>
      </c>
      <c r="C10" s="5"/>
      <c r="D10" s="5"/>
      <c r="E10" s="5"/>
      <c r="F10" s="4"/>
    </row>
    <row r="11" spans="1:6" ht="18.75" customHeight="1" x14ac:dyDescent="0.45">
      <c r="A11" s="20" t="s">
        <v>12</v>
      </c>
      <c r="B11" s="27" t="s">
        <v>13</v>
      </c>
      <c r="C11" s="5"/>
      <c r="D11" s="5"/>
      <c r="E11" s="5"/>
      <c r="F11" s="4"/>
    </row>
    <row r="12" spans="1:6" ht="18.75" customHeight="1" x14ac:dyDescent="0.45">
      <c r="A12" s="20" t="s">
        <v>14</v>
      </c>
      <c r="B12" s="27" t="s">
        <v>15</v>
      </c>
      <c r="C12" s="5"/>
      <c r="D12" s="5"/>
      <c r="E12" s="5"/>
      <c r="F12" s="4"/>
    </row>
    <row r="13" spans="1:6" ht="18.75" customHeight="1" x14ac:dyDescent="0.45">
      <c r="A13" s="20" t="s">
        <v>16</v>
      </c>
      <c r="B13" s="27" t="s">
        <v>17</v>
      </c>
      <c r="C13" s="5"/>
      <c r="D13" s="5"/>
      <c r="E13" s="5"/>
      <c r="F13" s="4"/>
    </row>
    <row r="14" spans="1:6" ht="18.75" customHeight="1" x14ac:dyDescent="0.45">
      <c r="A14" s="20" t="s">
        <v>18</v>
      </c>
      <c r="B14" s="36"/>
      <c r="C14" s="37"/>
      <c r="D14" s="37"/>
      <c r="E14" s="37"/>
      <c r="F14" s="38"/>
    </row>
    <row r="15" spans="1:6" ht="18.75" customHeight="1" x14ac:dyDescent="0.45">
      <c r="B15" s="39"/>
      <c r="C15" s="40"/>
      <c r="D15" s="40"/>
      <c r="E15" s="40"/>
      <c r="F15" s="41"/>
    </row>
    <row r="16" spans="1:6" ht="18.75" customHeight="1" x14ac:dyDescent="0.45">
      <c r="B16" s="39"/>
      <c r="C16" s="40"/>
      <c r="D16" s="40"/>
      <c r="E16" s="40"/>
      <c r="F16" s="41"/>
    </row>
    <row r="17" spans="1:7" ht="18.75" customHeight="1" x14ac:dyDescent="0.45">
      <c r="B17" s="39"/>
      <c r="C17" s="40"/>
      <c r="D17" s="40"/>
      <c r="E17" s="40"/>
      <c r="F17" s="41"/>
    </row>
    <row r="18" spans="1:7" ht="18.75" customHeight="1" x14ac:dyDescent="0.45">
      <c r="B18" s="39"/>
      <c r="C18" s="40"/>
      <c r="D18" s="40"/>
      <c r="E18" s="40"/>
      <c r="F18" s="41"/>
    </row>
    <row r="19" spans="1:7" ht="21" customHeight="1" x14ac:dyDescent="0.45">
      <c r="A19" s="3" t="s">
        <v>19</v>
      </c>
    </row>
    <row r="20" spans="1:7" ht="18.75" customHeight="1" x14ac:dyDescent="0.45">
      <c r="A20" s="91" t="s">
        <v>20</v>
      </c>
      <c r="B20" s="5" t="s">
        <v>3</v>
      </c>
      <c r="C20" s="5"/>
      <c r="D20" s="5"/>
      <c r="E20" s="5"/>
    </row>
    <row r="21" spans="1:7" ht="15.7" customHeight="1" x14ac:dyDescent="0.45">
      <c r="A21" s="3" t="s">
        <v>21</v>
      </c>
      <c r="B21" s="150"/>
      <c r="C21" s="146"/>
      <c r="D21" s="146"/>
      <c r="E21" s="151"/>
    </row>
    <row r="22" spans="1:7" ht="18.75" customHeight="1" x14ac:dyDescent="0.45">
      <c r="A22" s="91" t="s">
        <v>22</v>
      </c>
      <c r="B22" s="5" t="s">
        <v>23</v>
      </c>
      <c r="C22" s="5"/>
      <c r="D22" s="5"/>
      <c r="E22" s="5"/>
    </row>
    <row r="23" spans="1:7" ht="18.75" customHeight="1" x14ac:dyDescent="0.45">
      <c r="A23" s="91" t="s">
        <v>24</v>
      </c>
      <c r="B23" s="22" t="s">
        <v>25</v>
      </c>
      <c r="C23" s="5"/>
      <c r="D23" s="5"/>
      <c r="E23" s="5"/>
    </row>
    <row r="24" spans="1:7" ht="18.75" customHeight="1" x14ac:dyDescent="0.45">
      <c r="A24" s="23"/>
    </row>
    <row r="25" spans="1:7" ht="18.75" customHeight="1" x14ac:dyDescent="0.45">
      <c r="A25" s="23"/>
    </row>
    <row r="26" spans="1:7" ht="41.55" customHeight="1" x14ac:dyDescent="0.45">
      <c r="A26" s="92" t="s">
        <v>26</v>
      </c>
      <c r="B26" s="5" t="s">
        <v>123</v>
      </c>
      <c r="C26" s="5"/>
      <c r="D26" s="5"/>
      <c r="E26" s="5"/>
    </row>
    <row r="27" spans="1:7" ht="24.75" customHeight="1" x14ac:dyDescent="0.45">
      <c r="A27" s="3" t="s">
        <v>21</v>
      </c>
      <c r="B27" s="104"/>
      <c r="C27" s="105"/>
      <c r="D27" s="105"/>
      <c r="E27" s="106"/>
      <c r="F27" s="107"/>
      <c r="G27" s="108"/>
    </row>
    <row r="28" spans="1:7" ht="41.55" customHeight="1" x14ac:dyDescent="0.45">
      <c r="A28" s="92" t="s">
        <v>27</v>
      </c>
      <c r="B28" s="5"/>
      <c r="C28" s="5"/>
      <c r="D28" s="103"/>
      <c r="E28" s="5"/>
    </row>
    <row r="29" spans="1:7" ht="18.75" customHeight="1" x14ac:dyDescent="0.45">
      <c r="A29" s="92" t="s">
        <v>28</v>
      </c>
      <c r="B29" s="5"/>
      <c r="C29" s="5"/>
      <c r="D29" s="5"/>
      <c r="E29" s="5"/>
    </row>
    <row r="30" spans="1:7" ht="18.75" customHeight="1" x14ac:dyDescent="0.45">
      <c r="A30" s="28"/>
      <c r="B30" s="5"/>
      <c r="C30" s="5"/>
      <c r="D30" s="5"/>
      <c r="E30" s="5"/>
    </row>
    <row r="31" spans="1:7" ht="18.75" customHeight="1" x14ac:dyDescent="0.45"/>
    <row r="32" spans="1:7" ht="18.75" customHeight="1" x14ac:dyDescent="0.45">
      <c r="A32" s="3"/>
    </row>
    <row r="33" spans="1:8" ht="18.75" customHeight="1" x14ac:dyDescent="0.45">
      <c r="A33" s="3" t="s">
        <v>29</v>
      </c>
    </row>
    <row r="34" spans="1:8" ht="18.75" customHeight="1" x14ac:dyDescent="0.45">
      <c r="B34" s="93" t="s">
        <v>30</v>
      </c>
      <c r="C34" s="94"/>
    </row>
    <row r="35" spans="1:8" ht="18.75" customHeight="1" x14ac:dyDescent="0.45">
      <c r="B35" s="93"/>
      <c r="C35" s="95" t="s">
        <v>31</v>
      </c>
    </row>
    <row r="36" spans="1:8" ht="31.45" customHeight="1" x14ac:dyDescent="0.5">
      <c r="B36" s="96" t="s">
        <v>32</v>
      </c>
      <c r="C36" s="97" t="s">
        <v>33</v>
      </c>
      <c r="D36" s="43"/>
      <c r="E36" s="43"/>
      <c r="F36" s="46"/>
      <c r="G36" s="47"/>
      <c r="H36" s="48"/>
    </row>
    <row r="37" spans="1:8" ht="15" customHeight="1" x14ac:dyDescent="0.5">
      <c r="B37" s="96" t="s">
        <v>34</v>
      </c>
      <c r="C37" s="98" t="s">
        <v>35</v>
      </c>
      <c r="D37" s="49"/>
      <c r="E37" s="49"/>
      <c r="F37" s="49"/>
    </row>
    <row r="38" spans="1:8" ht="18.75" customHeight="1" x14ac:dyDescent="0.5">
      <c r="B38" s="90" t="s">
        <v>34</v>
      </c>
      <c r="C38" s="99" t="s">
        <v>36</v>
      </c>
      <c r="D38" s="49"/>
      <c r="E38" s="49"/>
      <c r="F38" s="49"/>
    </row>
    <row r="39" spans="1:8" s="17" customFormat="1" ht="26.2" customHeight="1" x14ac:dyDescent="0.5">
      <c r="A39" s="31"/>
      <c r="B39" s="100" t="s">
        <v>37</v>
      </c>
      <c r="C39" s="99" t="s">
        <v>38</v>
      </c>
      <c r="D39" s="50"/>
      <c r="E39" s="50"/>
      <c r="F39" s="45"/>
      <c r="G39" s="32"/>
    </row>
    <row r="40" spans="1:8" ht="17.2" customHeight="1" x14ac:dyDescent="0.5">
      <c r="B40" s="96" t="s">
        <v>39</v>
      </c>
      <c r="C40" s="101" t="s">
        <v>40</v>
      </c>
      <c r="D40" s="44"/>
      <c r="E40" s="44"/>
      <c r="F40" s="42"/>
    </row>
    <row r="41" spans="1:8" ht="13.9" customHeight="1" x14ac:dyDescent="0.5">
      <c r="B41" s="93" t="s">
        <v>41</v>
      </c>
      <c r="C41" s="102" t="s">
        <v>42</v>
      </c>
      <c r="D41" s="51"/>
      <c r="E41" s="51"/>
      <c r="F41" s="42"/>
    </row>
    <row r="42" spans="1:8" ht="18.75" customHeight="1" x14ac:dyDescent="0.5">
      <c r="B42" s="29"/>
      <c r="C42" s="51"/>
      <c r="D42" s="51"/>
      <c r="E42" s="51"/>
      <c r="F42" s="42"/>
    </row>
    <row r="43" spans="1:8" ht="18.75" customHeight="1" x14ac:dyDescent="0.45">
      <c r="B43" s="29"/>
      <c r="C43" s="30"/>
      <c r="D43" s="30"/>
      <c r="E43" s="30"/>
    </row>
    <row r="44" spans="1:8" s="17" customFormat="1" ht="41.55" customHeight="1" x14ac:dyDescent="0.45">
      <c r="A44" s="33" t="s">
        <v>43</v>
      </c>
      <c r="B44" s="34" t="s">
        <v>44</v>
      </c>
      <c r="C44" s="35" t="s">
        <v>45</v>
      </c>
      <c r="D44" s="35" t="s">
        <v>46</v>
      </c>
      <c r="E44" s="35" t="s">
        <v>47</v>
      </c>
      <c r="F44" s="33" t="s">
        <v>48</v>
      </c>
      <c r="G44" s="34" t="s">
        <v>49</v>
      </c>
      <c r="H44" s="17" t="s">
        <v>50</v>
      </c>
    </row>
    <row r="45" spans="1:8" ht="18.75" customHeight="1" x14ac:dyDescent="0.45">
      <c r="A45" s="10" t="s">
        <v>51</v>
      </c>
      <c r="B45" s="11">
        <v>1</v>
      </c>
      <c r="C45" s="13">
        <v>13212</v>
      </c>
      <c r="D45" s="13">
        <v>1485.1</v>
      </c>
      <c r="E45" s="13">
        <v>1710</v>
      </c>
      <c r="F45" t="s">
        <v>52</v>
      </c>
      <c r="G45" s="11">
        <v>1</v>
      </c>
    </row>
    <row r="46" spans="1:8" ht="18.75" customHeight="1" x14ac:dyDescent="0.45">
      <c r="A46" s="10" t="s">
        <v>51</v>
      </c>
      <c r="B46" s="11">
        <v>2</v>
      </c>
      <c r="C46" s="13">
        <v>13213</v>
      </c>
      <c r="D46" s="13">
        <v>855.2</v>
      </c>
      <c r="E46" s="13">
        <v>881</v>
      </c>
      <c r="F46" t="s">
        <v>52</v>
      </c>
      <c r="G46" s="11">
        <v>1</v>
      </c>
    </row>
    <row r="47" spans="1:8" ht="18.75" customHeight="1" x14ac:dyDescent="0.45">
      <c r="A47" s="10" t="s">
        <v>51</v>
      </c>
      <c r="B47" s="11">
        <v>3</v>
      </c>
      <c r="C47" s="13">
        <v>13214</v>
      </c>
      <c r="D47" s="13">
        <v>9964</v>
      </c>
      <c r="E47" s="13">
        <v>10200</v>
      </c>
      <c r="F47" t="s">
        <v>52</v>
      </c>
      <c r="G47" s="11">
        <v>1</v>
      </c>
    </row>
    <row r="48" spans="1:8" ht="18.75" customHeight="1" x14ac:dyDescent="0.45">
      <c r="A48" s="10" t="s">
        <v>51</v>
      </c>
      <c r="B48" s="11">
        <v>4</v>
      </c>
      <c r="C48" s="13">
        <v>13215</v>
      </c>
      <c r="D48" s="13">
        <v>13204.8</v>
      </c>
      <c r="E48" s="13">
        <v>12700</v>
      </c>
      <c r="F48" t="s">
        <v>52</v>
      </c>
      <c r="G48" s="11">
        <v>1</v>
      </c>
    </row>
    <row r="49" spans="1:7" ht="18.75" customHeight="1" x14ac:dyDescent="0.45">
      <c r="A49" s="10" t="s">
        <v>51</v>
      </c>
      <c r="B49" s="11">
        <v>5</v>
      </c>
      <c r="C49" s="13">
        <v>13216</v>
      </c>
      <c r="D49" s="13">
        <v>4948.7</v>
      </c>
      <c r="E49" s="13">
        <v>4690</v>
      </c>
      <c r="F49" t="s">
        <v>52</v>
      </c>
      <c r="G49" s="11">
        <v>1</v>
      </c>
    </row>
    <row r="50" spans="1:7" ht="18.75" customHeight="1" x14ac:dyDescent="0.45">
      <c r="A50" s="10" t="s">
        <v>51</v>
      </c>
      <c r="B50" s="11">
        <v>6</v>
      </c>
      <c r="C50" s="13">
        <v>13217</v>
      </c>
      <c r="D50" s="13">
        <v>11622.3</v>
      </c>
      <c r="E50" s="13">
        <v>10900</v>
      </c>
      <c r="F50" t="s">
        <v>52</v>
      </c>
      <c r="G50" s="11">
        <v>1</v>
      </c>
    </row>
    <row r="51" spans="1:7" ht="18.75" customHeight="1" x14ac:dyDescent="0.45">
      <c r="A51" s="10" t="s">
        <v>51</v>
      </c>
      <c r="B51" s="11">
        <v>7</v>
      </c>
      <c r="C51" s="13">
        <v>13218</v>
      </c>
      <c r="D51" s="13">
        <v>8807.7999999999993</v>
      </c>
      <c r="E51" s="13">
        <v>7860</v>
      </c>
      <c r="F51" t="s">
        <v>52</v>
      </c>
      <c r="G51" s="11">
        <v>1</v>
      </c>
    </row>
    <row r="52" spans="1:7" ht="18.75" customHeight="1" x14ac:dyDescent="0.45">
      <c r="A52" s="10" t="s">
        <v>51</v>
      </c>
      <c r="B52" s="11">
        <v>8</v>
      </c>
      <c r="C52" s="13">
        <v>13219</v>
      </c>
      <c r="D52" s="13">
        <v>2996.8</v>
      </c>
      <c r="E52" s="13">
        <v>3150</v>
      </c>
      <c r="F52" t="s">
        <v>52</v>
      </c>
      <c r="G52" s="11">
        <v>1</v>
      </c>
    </row>
    <row r="53" spans="1:7" ht="18.75" customHeight="1" x14ac:dyDescent="0.45">
      <c r="A53" s="10" t="s">
        <v>51</v>
      </c>
      <c r="B53" s="11">
        <v>9</v>
      </c>
      <c r="C53" s="13">
        <v>13220</v>
      </c>
      <c r="D53" s="13">
        <v>5692.5</v>
      </c>
      <c r="E53" s="13">
        <v>5910</v>
      </c>
      <c r="F53" t="s">
        <v>52</v>
      </c>
      <c r="G53" s="11">
        <v>1</v>
      </c>
    </row>
    <row r="54" spans="1:7" ht="18.75" customHeight="1" x14ac:dyDescent="0.45">
      <c r="A54" s="10" t="s">
        <v>51</v>
      </c>
      <c r="B54" s="11">
        <v>10</v>
      </c>
      <c r="C54" s="13">
        <v>13221</v>
      </c>
      <c r="D54" s="13">
        <v>2050.8000000000002</v>
      </c>
      <c r="E54" s="13">
        <v>2310</v>
      </c>
      <c r="F54" t="s">
        <v>52</v>
      </c>
      <c r="G54" s="11">
        <v>1</v>
      </c>
    </row>
    <row r="55" spans="1:7" ht="18.75" customHeight="1" x14ac:dyDescent="0.45">
      <c r="A55" s="10" t="s">
        <v>51</v>
      </c>
      <c r="B55" s="11">
        <v>11</v>
      </c>
      <c r="C55" s="13">
        <v>13222</v>
      </c>
      <c r="D55" s="13">
        <v>536.5</v>
      </c>
      <c r="E55" s="13">
        <v>509</v>
      </c>
      <c r="F55" t="s">
        <v>52</v>
      </c>
      <c r="G55" s="11">
        <v>1</v>
      </c>
    </row>
    <row r="56" spans="1:7" ht="18.75" customHeight="1" x14ac:dyDescent="0.45">
      <c r="A56" s="10" t="s">
        <v>51</v>
      </c>
      <c r="B56" s="11">
        <v>12</v>
      </c>
      <c r="C56" s="13">
        <v>13223</v>
      </c>
      <c r="D56" s="13">
        <v>5438.5</v>
      </c>
      <c r="E56" s="13">
        <v>5890</v>
      </c>
      <c r="F56" t="s">
        <v>52</v>
      </c>
      <c r="G56" s="11">
        <v>2</v>
      </c>
    </row>
    <row r="57" spans="1:7" ht="18.75" customHeight="1" x14ac:dyDescent="0.45">
      <c r="A57" s="10" t="s">
        <v>51</v>
      </c>
      <c r="B57" s="11">
        <v>13</v>
      </c>
      <c r="C57" s="13">
        <v>13224</v>
      </c>
      <c r="D57" s="13">
        <v>1658.9</v>
      </c>
      <c r="E57" s="13">
        <v>1860</v>
      </c>
      <c r="F57" t="s">
        <v>52</v>
      </c>
      <c r="G57" s="11">
        <v>2</v>
      </c>
    </row>
    <row r="58" spans="1:7" ht="18.75" customHeight="1" x14ac:dyDescent="0.45">
      <c r="A58" s="10" t="s">
        <v>51</v>
      </c>
      <c r="B58" s="11">
        <v>14</v>
      </c>
      <c r="C58" s="13">
        <v>13225</v>
      </c>
      <c r="D58" s="13">
        <v>5553.2</v>
      </c>
      <c r="E58" s="13">
        <v>6310</v>
      </c>
      <c r="F58" t="s">
        <v>52</v>
      </c>
      <c r="G58" s="11">
        <v>2</v>
      </c>
    </row>
    <row r="59" spans="1:7" ht="18.75" customHeight="1" x14ac:dyDescent="0.45">
      <c r="A59" s="10" t="s">
        <v>51</v>
      </c>
      <c r="B59" s="11">
        <v>15</v>
      </c>
      <c r="C59" s="13">
        <v>13226</v>
      </c>
      <c r="D59" s="16">
        <v>73.7</v>
      </c>
      <c r="E59" s="13">
        <v>36.200000000000003</v>
      </c>
      <c r="F59" t="s">
        <v>52</v>
      </c>
      <c r="G59" s="11">
        <v>2</v>
      </c>
    </row>
    <row r="60" spans="1:7" ht="18.75" customHeight="1" x14ac:dyDescent="0.45">
      <c r="A60" s="10" t="s">
        <v>51</v>
      </c>
      <c r="B60" s="11">
        <v>16</v>
      </c>
      <c r="C60" s="13">
        <v>13227</v>
      </c>
      <c r="D60" s="13">
        <v>3898.7</v>
      </c>
      <c r="E60" s="13">
        <v>4250</v>
      </c>
      <c r="F60" t="s">
        <v>52</v>
      </c>
      <c r="G60" s="11">
        <v>2</v>
      </c>
    </row>
    <row r="61" spans="1:7" ht="18.75" customHeight="1" x14ac:dyDescent="0.45">
      <c r="A61" s="10" t="s">
        <v>51</v>
      </c>
      <c r="B61" s="11">
        <v>17</v>
      </c>
      <c r="C61" s="13">
        <v>13228</v>
      </c>
      <c r="D61" s="13">
        <v>10846.7</v>
      </c>
      <c r="E61" s="13">
        <v>10400</v>
      </c>
      <c r="F61" t="s">
        <v>52</v>
      </c>
      <c r="G61" s="11">
        <v>2</v>
      </c>
    </row>
    <row r="62" spans="1:7" ht="18.75" customHeight="1" x14ac:dyDescent="0.45">
      <c r="A62" s="10" t="s">
        <v>51</v>
      </c>
      <c r="B62" s="11">
        <v>18</v>
      </c>
      <c r="C62" s="13">
        <v>13229</v>
      </c>
      <c r="D62" s="13">
        <v>8377.6</v>
      </c>
      <c r="E62" s="13">
        <v>7380</v>
      </c>
      <c r="F62" t="s">
        <v>52</v>
      </c>
      <c r="G62" s="11">
        <v>2</v>
      </c>
    </row>
    <row r="63" spans="1:7" ht="18.75" customHeight="1" x14ac:dyDescent="0.45">
      <c r="A63" s="10" t="s">
        <v>51</v>
      </c>
      <c r="B63" s="11">
        <v>19</v>
      </c>
      <c r="C63" s="13">
        <v>13230</v>
      </c>
      <c r="D63" s="13">
        <v>146.4</v>
      </c>
      <c r="E63" s="13">
        <v>141</v>
      </c>
      <c r="F63" t="s">
        <v>52</v>
      </c>
      <c r="G63" s="11">
        <v>2</v>
      </c>
    </row>
    <row r="64" spans="1:7" ht="18.75" customHeight="1" x14ac:dyDescent="0.45">
      <c r="A64" s="10" t="s">
        <v>51</v>
      </c>
      <c r="B64" s="11">
        <v>20</v>
      </c>
      <c r="C64" s="13">
        <v>13231</v>
      </c>
      <c r="D64" s="13">
        <v>2264.6999999999998</v>
      </c>
      <c r="E64" s="13">
        <v>2580</v>
      </c>
      <c r="F64" t="s">
        <v>52</v>
      </c>
      <c r="G64" s="11">
        <v>3</v>
      </c>
    </row>
    <row r="65" spans="1:7" ht="18.75" customHeight="1" x14ac:dyDescent="0.45">
      <c r="A65" s="10" t="s">
        <v>51</v>
      </c>
      <c r="B65" s="11">
        <v>21</v>
      </c>
      <c r="C65" s="13">
        <v>13232</v>
      </c>
      <c r="D65" s="13">
        <v>713.7</v>
      </c>
      <c r="E65" s="13">
        <v>733</v>
      </c>
      <c r="F65" t="s">
        <v>52</v>
      </c>
      <c r="G65" s="11">
        <v>3</v>
      </c>
    </row>
    <row r="66" spans="1:7" ht="18.75" customHeight="1" x14ac:dyDescent="0.45">
      <c r="A66" s="10" t="s">
        <v>51</v>
      </c>
      <c r="B66" s="11">
        <v>22</v>
      </c>
      <c r="C66" s="13">
        <v>13233</v>
      </c>
      <c r="D66" s="13">
        <v>1503.3</v>
      </c>
      <c r="E66" s="13">
        <v>1640</v>
      </c>
      <c r="F66" t="s">
        <v>52</v>
      </c>
      <c r="G66" s="11">
        <v>3</v>
      </c>
    </row>
    <row r="67" spans="1:7" ht="18.75" customHeight="1" x14ac:dyDescent="0.45">
      <c r="A67" s="10" t="s">
        <v>51</v>
      </c>
      <c r="B67" s="11">
        <v>23</v>
      </c>
      <c r="C67" s="13">
        <v>13234</v>
      </c>
      <c r="D67" s="13">
        <v>854.3</v>
      </c>
      <c r="E67" s="13">
        <v>855</v>
      </c>
      <c r="F67" t="s">
        <v>52</v>
      </c>
      <c r="G67" s="11">
        <v>3</v>
      </c>
    </row>
    <row r="68" spans="1:7" ht="18.75" customHeight="1" x14ac:dyDescent="0.45">
      <c r="A68" s="10" t="s">
        <v>51</v>
      </c>
      <c r="B68" s="11">
        <v>24</v>
      </c>
      <c r="C68" s="13">
        <v>13235</v>
      </c>
      <c r="D68" s="13">
        <v>1080.0999999999999</v>
      </c>
      <c r="E68" s="13">
        <v>1240</v>
      </c>
      <c r="F68" t="s">
        <v>52</v>
      </c>
      <c r="G68" s="11">
        <v>3</v>
      </c>
    </row>
    <row r="69" spans="1:7" ht="18.75" customHeight="1" x14ac:dyDescent="0.45">
      <c r="A69" s="10" t="s">
        <v>51</v>
      </c>
      <c r="B69" s="11">
        <v>25</v>
      </c>
      <c r="C69" s="13">
        <v>13236</v>
      </c>
      <c r="D69" s="13">
        <v>733.1</v>
      </c>
      <c r="E69" s="13">
        <v>629</v>
      </c>
      <c r="F69" t="s">
        <v>52</v>
      </c>
      <c r="G69" s="11">
        <v>3</v>
      </c>
    </row>
    <row r="70" spans="1:7" ht="18.75" customHeight="1" x14ac:dyDescent="0.45">
      <c r="A70" s="10" t="s">
        <v>51</v>
      </c>
      <c r="B70" s="11">
        <v>26</v>
      </c>
      <c r="C70" s="13">
        <v>13237</v>
      </c>
      <c r="D70" s="13">
        <v>5766.2</v>
      </c>
      <c r="E70" s="13">
        <v>5390</v>
      </c>
      <c r="F70" t="s">
        <v>52</v>
      </c>
      <c r="G70" s="11">
        <v>3</v>
      </c>
    </row>
    <row r="71" spans="1:7" ht="18.75" customHeight="1" x14ac:dyDescent="0.45">
      <c r="A71" s="10" t="s">
        <v>51</v>
      </c>
      <c r="B71" s="11">
        <v>27</v>
      </c>
      <c r="C71" s="13">
        <v>13238</v>
      </c>
      <c r="D71" s="13">
        <v>1530.4</v>
      </c>
      <c r="E71" s="13">
        <v>1520</v>
      </c>
      <c r="F71" t="s">
        <v>52</v>
      </c>
      <c r="G71" s="11">
        <v>4</v>
      </c>
    </row>
    <row r="72" spans="1:7" ht="18.75" customHeight="1" x14ac:dyDescent="0.45">
      <c r="A72" s="10" t="s">
        <v>51</v>
      </c>
      <c r="B72" s="11">
        <v>28</v>
      </c>
      <c r="C72" s="13">
        <v>13239</v>
      </c>
      <c r="D72" s="13">
        <v>636.4</v>
      </c>
      <c r="E72" s="13">
        <v>674</v>
      </c>
      <c r="F72" t="s">
        <v>52</v>
      </c>
      <c r="G72" s="11">
        <v>4</v>
      </c>
    </row>
    <row r="73" spans="1:7" ht="18.75" customHeight="1" x14ac:dyDescent="0.45">
      <c r="A73" s="10" t="s">
        <v>51</v>
      </c>
      <c r="B73" s="11">
        <v>29</v>
      </c>
      <c r="C73" s="13">
        <v>13240</v>
      </c>
      <c r="D73" s="13">
        <v>11958.1</v>
      </c>
      <c r="E73" s="13">
        <v>13800</v>
      </c>
      <c r="F73" t="s">
        <v>52</v>
      </c>
      <c r="G73" s="11">
        <v>4</v>
      </c>
    </row>
    <row r="74" spans="1:7" ht="18.75" customHeight="1" x14ac:dyDescent="0.45">
      <c r="A74" s="10" t="s">
        <v>51</v>
      </c>
      <c r="B74" s="11">
        <v>30</v>
      </c>
      <c r="C74" s="13">
        <v>13241</v>
      </c>
      <c r="D74" s="13">
        <v>1600</v>
      </c>
      <c r="E74" s="13">
        <v>1780</v>
      </c>
      <c r="F74" t="s">
        <v>52</v>
      </c>
      <c r="G74" s="11">
        <v>4</v>
      </c>
    </row>
    <row r="75" spans="1:7" ht="18.75" customHeight="1" x14ac:dyDescent="0.45">
      <c r="A75" s="10" t="s">
        <v>51</v>
      </c>
      <c r="B75" s="11">
        <v>31</v>
      </c>
      <c r="C75" s="13">
        <v>13242</v>
      </c>
      <c r="D75" s="13">
        <v>172.4</v>
      </c>
      <c r="E75" s="13">
        <v>145</v>
      </c>
      <c r="F75" t="s">
        <v>52</v>
      </c>
      <c r="G75" s="11">
        <v>4</v>
      </c>
    </row>
    <row r="76" spans="1:7" ht="18.75" customHeight="1" x14ac:dyDescent="0.45">
      <c r="A76" s="10" t="s">
        <v>51</v>
      </c>
      <c r="B76" s="11">
        <v>32</v>
      </c>
      <c r="C76" s="13">
        <v>13243</v>
      </c>
      <c r="D76" s="13">
        <v>5672.6</v>
      </c>
      <c r="E76" s="13">
        <v>5710</v>
      </c>
      <c r="F76" t="s">
        <v>52</v>
      </c>
      <c r="G76" s="11">
        <v>4</v>
      </c>
    </row>
    <row r="77" spans="1:7" ht="18.75" customHeight="1" x14ac:dyDescent="0.45">
      <c r="A77" s="10" t="s">
        <v>51</v>
      </c>
      <c r="B77" s="11">
        <v>33</v>
      </c>
      <c r="C77" s="13">
        <v>13244</v>
      </c>
      <c r="D77" s="13">
        <v>5825.9</v>
      </c>
      <c r="E77" s="13">
        <v>5630</v>
      </c>
      <c r="F77" t="s">
        <v>52</v>
      </c>
      <c r="G77" s="11">
        <v>4</v>
      </c>
    </row>
    <row r="78" spans="1:7" ht="18.75" customHeight="1" x14ac:dyDescent="0.45">
      <c r="A78" s="10" t="s">
        <v>51</v>
      </c>
      <c r="B78" s="11">
        <v>34</v>
      </c>
      <c r="C78" s="13">
        <v>13245</v>
      </c>
      <c r="D78" s="13">
        <v>344.1</v>
      </c>
      <c r="E78" s="13">
        <v>358</v>
      </c>
      <c r="F78" t="s">
        <v>52</v>
      </c>
      <c r="G78" s="11">
        <v>5</v>
      </c>
    </row>
    <row r="79" spans="1:7" ht="18.75" customHeight="1" x14ac:dyDescent="0.45">
      <c r="A79" s="10" t="s">
        <v>51</v>
      </c>
      <c r="B79" s="11">
        <v>35</v>
      </c>
      <c r="C79" s="13">
        <v>13246</v>
      </c>
      <c r="D79" s="13">
        <v>39.5</v>
      </c>
      <c r="E79" s="13">
        <v>23.5</v>
      </c>
      <c r="F79" t="s">
        <v>52</v>
      </c>
      <c r="G79" s="11">
        <v>5</v>
      </c>
    </row>
    <row r="80" spans="1:7" ht="18.75" customHeight="1" x14ac:dyDescent="0.45">
      <c r="A80" s="10" t="s">
        <v>51</v>
      </c>
      <c r="B80" s="11">
        <v>36</v>
      </c>
      <c r="C80" s="13">
        <v>13247</v>
      </c>
      <c r="D80" s="13">
        <v>250.4</v>
      </c>
      <c r="E80" s="13">
        <v>256</v>
      </c>
      <c r="F80" t="s">
        <v>52</v>
      </c>
      <c r="G80" s="11">
        <v>5</v>
      </c>
    </row>
    <row r="81" spans="1:7" ht="18.75" customHeight="1" x14ac:dyDescent="0.45">
      <c r="A81" s="10" t="s">
        <v>51</v>
      </c>
      <c r="B81" s="11">
        <v>37</v>
      </c>
      <c r="C81" s="13">
        <v>13248</v>
      </c>
      <c r="D81" s="13">
        <v>1002.4</v>
      </c>
      <c r="E81" s="13">
        <v>1100</v>
      </c>
      <c r="F81" t="s">
        <v>52</v>
      </c>
      <c r="G81" s="11">
        <v>5</v>
      </c>
    </row>
    <row r="82" spans="1:7" ht="18.75" customHeight="1" x14ac:dyDescent="0.45">
      <c r="A82" s="10" t="s">
        <v>51</v>
      </c>
      <c r="B82" s="11">
        <v>38</v>
      </c>
      <c r="C82" s="13">
        <v>13249</v>
      </c>
      <c r="D82" s="13">
        <v>3828.3</v>
      </c>
      <c r="E82" s="13">
        <v>3470</v>
      </c>
      <c r="F82" t="s">
        <v>52</v>
      </c>
      <c r="G82" s="11">
        <v>5</v>
      </c>
    </row>
    <row r="83" spans="1:7" ht="18.75" customHeight="1" x14ac:dyDescent="0.45">
      <c r="A83" s="10" t="s">
        <v>51</v>
      </c>
      <c r="B83" s="11">
        <v>39</v>
      </c>
      <c r="C83" s="13">
        <v>13250</v>
      </c>
      <c r="D83" s="13">
        <v>787.1</v>
      </c>
      <c r="E83" s="13">
        <v>840</v>
      </c>
      <c r="F83" t="s">
        <v>52</v>
      </c>
      <c r="G83" s="11">
        <v>5</v>
      </c>
    </row>
    <row r="84" spans="1:7" ht="18.75" customHeight="1" x14ac:dyDescent="0.45">
      <c r="A84" s="10" t="s">
        <v>51</v>
      </c>
      <c r="B84" s="11">
        <v>40</v>
      </c>
      <c r="C84" s="13">
        <v>13251</v>
      </c>
      <c r="D84" s="13">
        <v>2241.8000000000002</v>
      </c>
      <c r="E84" s="13">
        <v>2310</v>
      </c>
      <c r="F84" t="s">
        <v>52</v>
      </c>
      <c r="G84" s="11">
        <v>5</v>
      </c>
    </row>
    <row r="85" spans="1:7" ht="18.75" customHeight="1" x14ac:dyDescent="0.45">
      <c r="A85" s="10"/>
      <c r="B85" s="11"/>
      <c r="C85" s="13"/>
      <c r="D85" s="13"/>
      <c r="E85" s="13"/>
      <c r="G85" s="11"/>
    </row>
    <row r="86" spans="1:7" ht="18.75" customHeight="1" x14ac:dyDescent="0.45">
      <c r="A86" s="10"/>
      <c r="B86" s="11"/>
      <c r="C86" s="13"/>
      <c r="D86" s="13"/>
      <c r="E86" s="13"/>
      <c r="G86" s="11"/>
    </row>
    <row r="87" spans="1:7" ht="18.75" customHeight="1" x14ac:dyDescent="0.45">
      <c r="A87" s="10"/>
      <c r="B87" s="11"/>
      <c r="C87" s="13"/>
      <c r="D87" s="13"/>
      <c r="E87" s="13"/>
      <c r="G87" s="11"/>
    </row>
    <row r="88" spans="1:7" ht="18.75" customHeight="1" x14ac:dyDescent="0.45">
      <c r="A88" s="10"/>
      <c r="B88" s="11"/>
      <c r="C88" s="13"/>
      <c r="D88" s="13"/>
      <c r="E88" s="13"/>
      <c r="G88" s="11"/>
    </row>
    <row r="89" spans="1:7" ht="18.75" customHeight="1" x14ac:dyDescent="0.45">
      <c r="A89" s="10"/>
      <c r="B89" s="11"/>
      <c r="C89" s="13"/>
      <c r="D89" s="13"/>
      <c r="E89" s="13"/>
      <c r="G89" s="11"/>
    </row>
    <row r="90" spans="1:7" ht="18.75" customHeight="1" x14ac:dyDescent="0.45">
      <c r="A90" s="10"/>
      <c r="B90" s="11"/>
      <c r="C90" s="13"/>
      <c r="D90" s="13"/>
      <c r="E90" s="13"/>
      <c r="G90" s="11"/>
    </row>
    <row r="91" spans="1:7" ht="18.75" customHeight="1" x14ac:dyDescent="0.45">
      <c r="A91" s="10"/>
      <c r="B91" s="11"/>
      <c r="C91" s="13"/>
      <c r="D91" s="13"/>
      <c r="E91" s="13"/>
      <c r="G91" s="11"/>
    </row>
  </sheetData>
  <mergeCells count="2">
    <mergeCell ref="B5:F5"/>
    <mergeCell ref="B21:E2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1048576"/>
  <sheetViews>
    <sheetView workbookViewId="0">
      <selection activeCell="B22" sqref="B22"/>
    </sheetView>
  </sheetViews>
  <sheetFormatPr defaultRowHeight="14.25" x14ac:dyDescent="0.45"/>
  <cols>
    <col min="1" max="1" width="15.73046875" bestFit="1" customWidth="1"/>
    <col min="2" max="2" width="17.53125" style="15" bestFit="1" customWidth="1"/>
    <col min="3" max="3" width="10.19921875" style="15" bestFit="1" customWidth="1"/>
    <col min="4" max="4" width="11.796875" style="15" bestFit="1" customWidth="1"/>
    <col min="5" max="5" width="13" style="24" bestFit="1" customWidth="1"/>
    <col min="6" max="6" width="13.53125" style="15" bestFit="1" customWidth="1"/>
    <col min="7" max="7" width="17.796875" style="15" customWidth="1"/>
    <col min="8" max="8" width="9.53125" style="15" customWidth="1"/>
    <col min="9" max="9" width="12.19921875" style="15" bestFit="1" customWidth="1"/>
    <col min="10" max="10" width="13.53125" style="8" bestFit="1" customWidth="1"/>
    <col min="11" max="11" width="13.53125" style="15" bestFit="1" customWidth="1"/>
    <col min="12" max="12" width="10.46484375" style="19" bestFit="1" customWidth="1"/>
    <col min="13" max="13" width="13.53125" style="15" bestFit="1" customWidth="1"/>
    <col min="14" max="14" width="19.265625" style="15" customWidth="1"/>
    <col min="15" max="15" width="12.19921875" style="8" bestFit="1" customWidth="1"/>
    <col min="16" max="16" width="10.796875" style="15" bestFit="1" customWidth="1"/>
    <col min="17" max="17" width="11.73046875" style="15" bestFit="1" customWidth="1"/>
    <col min="18" max="18" width="10.19921875" style="24" bestFit="1" customWidth="1"/>
    <col min="19" max="19" width="13.53125" style="8" bestFit="1" customWidth="1"/>
    <col min="20" max="20" width="13.53125" style="15" bestFit="1" customWidth="1"/>
    <col min="21" max="21" width="18.796875" customWidth="1"/>
    <col min="29" max="29" width="14.46484375" bestFit="1" customWidth="1"/>
  </cols>
  <sheetData>
    <row r="1" spans="1:8" ht="18.75" customHeight="1" x14ac:dyDescent="0.45">
      <c r="A1" s="1" t="str">
        <f>"Verification of " &amp;B2&amp; " on " &amp;B3</f>
        <v>Verification of NT-proBNP on Vitros 5600</v>
      </c>
      <c r="C1" s="2"/>
      <c r="D1" s="2"/>
      <c r="E1" s="18"/>
      <c r="F1" s="2"/>
    </row>
    <row r="2" spans="1:8" ht="15.7" customHeight="1" x14ac:dyDescent="0.5">
      <c r="A2" s="3" t="s">
        <v>53</v>
      </c>
      <c r="B2" s="14" t="str">
        <f>'Method Comparison'!B2</f>
        <v>NT-proBNP</v>
      </c>
      <c r="C2" s="5"/>
      <c r="D2" s="5"/>
      <c r="E2" s="21"/>
      <c r="F2" s="5"/>
      <c r="G2" s="5"/>
      <c r="H2" s="52"/>
    </row>
    <row r="3" spans="1:8" ht="18.75" customHeight="1" x14ac:dyDescent="0.45">
      <c r="A3" s="3" t="s">
        <v>2</v>
      </c>
      <c r="B3" s="5" t="str">
        <f>'Method Comparison'!B3</f>
        <v>Vitros 5600</v>
      </c>
      <c r="C3" s="5"/>
      <c r="D3" s="5"/>
      <c r="E3" s="21"/>
      <c r="F3" s="5"/>
      <c r="G3" s="5"/>
      <c r="H3" s="52"/>
    </row>
    <row r="4" spans="1:8" ht="18.75" customHeight="1" x14ac:dyDescent="0.45">
      <c r="A4" s="3" t="s">
        <v>4</v>
      </c>
      <c r="B4" s="5">
        <f>'Method Comparison'!B4</f>
        <v>1290353</v>
      </c>
      <c r="C4" s="5"/>
      <c r="D4" s="5"/>
      <c r="E4" s="21"/>
      <c r="F4" s="5"/>
      <c r="G4" s="5"/>
      <c r="H4" s="52"/>
    </row>
    <row r="5" spans="1:8" ht="18.75" customHeight="1" x14ac:dyDescent="0.45">
      <c r="A5" s="3" t="s">
        <v>5</v>
      </c>
      <c r="B5" s="149" t="str">
        <f>'Method Comparison'!B5:F5</f>
        <v>This method serves to bringing in-house BNP testing for heart failure assessments</v>
      </c>
      <c r="C5" s="146"/>
      <c r="D5" s="146"/>
      <c r="E5" s="152"/>
      <c r="F5" s="146"/>
      <c r="G5" s="151"/>
      <c r="H5" s="53"/>
    </row>
    <row r="6" spans="1:8" ht="18.75" customHeight="1" x14ac:dyDescent="0.45">
      <c r="A6" s="3" t="s">
        <v>54</v>
      </c>
      <c r="B6" s="5" t="s">
        <v>55</v>
      </c>
      <c r="C6" s="5"/>
      <c r="D6" s="5"/>
      <c r="E6" s="21"/>
      <c r="F6" s="5"/>
      <c r="G6" s="5"/>
      <c r="H6" s="52"/>
    </row>
    <row r="7" spans="1:8" ht="18.75" customHeight="1" x14ac:dyDescent="0.45">
      <c r="A7" s="3" t="s">
        <v>7</v>
      </c>
      <c r="B7" s="7" t="str">
        <f>'Method Comparison'!B7</f>
        <v>ng/L</v>
      </c>
      <c r="C7" s="7"/>
      <c r="D7" s="7"/>
      <c r="E7" s="21"/>
      <c r="F7" s="7"/>
      <c r="G7" s="5"/>
      <c r="H7" s="52"/>
    </row>
    <row r="8" spans="1:8" ht="18.75" customHeight="1" x14ac:dyDescent="0.45">
      <c r="A8" s="1"/>
      <c r="B8" s="2" t="s">
        <v>56</v>
      </c>
      <c r="C8" s="2"/>
      <c r="D8" s="2"/>
      <c r="E8" s="18"/>
      <c r="F8" s="2"/>
    </row>
    <row r="9" spans="1:8" ht="18.75" customHeight="1" x14ac:dyDescent="0.45">
      <c r="A9" s="1"/>
      <c r="B9" s="2"/>
      <c r="C9" s="2"/>
      <c r="D9" s="2"/>
      <c r="E9" s="18"/>
      <c r="F9" s="2"/>
    </row>
    <row r="10" spans="1:8" ht="18.75" customHeight="1" x14ac:dyDescent="0.45">
      <c r="A10" s="88" t="s">
        <v>22</v>
      </c>
      <c r="B10" s="109">
        <v>32200</v>
      </c>
      <c r="C10" s="21"/>
      <c r="D10" s="5"/>
      <c r="E10" s="21"/>
    </row>
    <row r="11" spans="1:8" ht="18.75" customHeight="1" x14ac:dyDescent="0.45">
      <c r="A11" s="88" t="s">
        <v>24</v>
      </c>
      <c r="B11" s="110"/>
      <c r="C11" s="5"/>
      <c r="D11" s="5"/>
      <c r="E11" s="21"/>
    </row>
    <row r="12" spans="1:8" ht="18.75" customHeight="1" x14ac:dyDescent="0.45">
      <c r="A12" s="88" t="s">
        <v>57</v>
      </c>
      <c r="B12" s="111"/>
      <c r="C12" s="21"/>
      <c r="D12" s="5"/>
      <c r="E12" s="21"/>
    </row>
    <row r="13" spans="1:8" ht="18.75" customHeight="1" x14ac:dyDescent="0.45">
      <c r="A13" s="88" t="s">
        <v>58</v>
      </c>
      <c r="B13" s="112"/>
      <c r="C13" s="21"/>
      <c r="D13" s="5"/>
      <c r="E13" s="21"/>
    </row>
    <row r="14" spans="1:8" ht="18.75" customHeight="1" x14ac:dyDescent="0.45">
      <c r="A14" s="88" t="s">
        <v>59</v>
      </c>
      <c r="B14" s="113"/>
      <c r="C14" s="5"/>
      <c r="D14" s="5"/>
      <c r="E14" s="21"/>
    </row>
    <row r="15" spans="1:8" ht="18.75" customHeight="1" x14ac:dyDescent="0.45">
      <c r="A15" s="88" t="s">
        <v>59</v>
      </c>
      <c r="B15" s="87" t="s">
        <v>60</v>
      </c>
      <c r="C15" s="5"/>
      <c r="D15" s="5"/>
      <c r="E15" s="21"/>
      <c r="F15" s="2"/>
    </row>
    <row r="16" spans="1:8" ht="18.75" customHeight="1" x14ac:dyDescent="0.45">
      <c r="A16" s="23" t="s">
        <v>32</v>
      </c>
      <c r="B16" s="89" t="s">
        <v>61</v>
      </c>
      <c r="C16" s="2"/>
      <c r="D16" s="2"/>
      <c r="E16" s="18"/>
      <c r="F16" s="2"/>
    </row>
    <row r="17" spans="1:21" ht="18.75" customHeight="1" x14ac:dyDescent="0.45">
      <c r="A17" s="23" t="s">
        <v>34</v>
      </c>
      <c r="B17" s="89" t="s">
        <v>62</v>
      </c>
    </row>
    <row r="18" spans="1:21" ht="18.75" customHeight="1" x14ac:dyDescent="0.45">
      <c r="A18" s="23" t="s">
        <v>37</v>
      </c>
      <c r="B18" s="90" t="s">
        <v>63</v>
      </c>
    </row>
    <row r="19" spans="1:21" ht="18.75" customHeight="1" x14ac:dyDescent="0.45">
      <c r="A19" s="23" t="s">
        <v>64</v>
      </c>
      <c r="B19" s="90" t="s">
        <v>65</v>
      </c>
    </row>
    <row r="20" spans="1:21" ht="18.75" customHeight="1" x14ac:dyDescent="0.45">
      <c r="B20" s="54" t="s">
        <v>66</v>
      </c>
      <c r="C20" s="54"/>
      <c r="D20" s="54"/>
      <c r="E20" s="55"/>
      <c r="F20" s="54"/>
      <c r="G20" s="54"/>
      <c r="H20" s="54"/>
      <c r="I20" s="54" t="s">
        <v>67</v>
      </c>
      <c r="J20" s="56"/>
      <c r="K20" s="54"/>
      <c r="L20" s="57"/>
      <c r="M20" s="54"/>
      <c r="N20" s="54"/>
      <c r="O20" s="56"/>
      <c r="P20" s="54" t="s">
        <v>68</v>
      </c>
      <c r="Q20" s="54"/>
      <c r="R20" s="54"/>
      <c r="S20" s="55"/>
      <c r="T20" s="54"/>
      <c r="U20" s="54"/>
    </row>
    <row r="21" spans="1:21" ht="18.75" customHeight="1" x14ac:dyDescent="0.45">
      <c r="B21" s="58" t="s">
        <v>49</v>
      </c>
      <c r="C21" s="59" t="s">
        <v>69</v>
      </c>
      <c r="D21" s="59" t="s">
        <v>70</v>
      </c>
      <c r="E21" s="60" t="s">
        <v>71</v>
      </c>
      <c r="F21" s="61" t="s">
        <v>72</v>
      </c>
      <c r="G21" s="61" t="s">
        <v>73</v>
      </c>
      <c r="H21" s="54"/>
      <c r="I21" s="68" t="s">
        <v>49</v>
      </c>
      <c r="J21" s="69" t="s">
        <v>69</v>
      </c>
      <c r="K21" s="69" t="s">
        <v>70</v>
      </c>
      <c r="L21" s="70" t="s">
        <v>71</v>
      </c>
      <c r="M21" s="71" t="s">
        <v>72</v>
      </c>
      <c r="N21" s="71" t="s">
        <v>73</v>
      </c>
      <c r="O21" s="56"/>
      <c r="P21" s="78" t="s">
        <v>49</v>
      </c>
      <c r="Q21" s="79" t="s">
        <v>69</v>
      </c>
      <c r="R21" s="79" t="s">
        <v>70</v>
      </c>
      <c r="S21" s="80" t="s">
        <v>71</v>
      </c>
      <c r="T21" s="79" t="s">
        <v>72</v>
      </c>
      <c r="U21" s="79" t="s">
        <v>73</v>
      </c>
    </row>
    <row r="22" spans="1:21" ht="18.75" customHeight="1" x14ac:dyDescent="0.45">
      <c r="B22" s="62">
        <f t="shared" ref="B22:B86" si="0">INT((ROW()-22)/4)+1</f>
        <v>1</v>
      </c>
      <c r="C22" s="63">
        <v>1</v>
      </c>
      <c r="D22" s="63">
        <v>1</v>
      </c>
      <c r="E22" s="64" t="s">
        <v>74</v>
      </c>
      <c r="F22" s="65">
        <v>101</v>
      </c>
      <c r="G22" s="65" t="s">
        <v>75</v>
      </c>
      <c r="I22" s="72">
        <v>1</v>
      </c>
      <c r="J22" s="73">
        <v>1</v>
      </c>
      <c r="K22" s="73">
        <v>1</v>
      </c>
      <c r="L22" s="74" t="s">
        <v>74</v>
      </c>
      <c r="M22" s="75">
        <v>272</v>
      </c>
      <c r="N22" s="75" t="s">
        <v>75</v>
      </c>
      <c r="O22"/>
      <c r="P22" s="62">
        <v>1</v>
      </c>
      <c r="Q22" s="81">
        <v>1</v>
      </c>
      <c r="R22" s="81">
        <v>1</v>
      </c>
      <c r="S22" s="82" t="s">
        <v>74</v>
      </c>
      <c r="T22" s="83">
        <v>4640</v>
      </c>
      <c r="U22" s="83" t="s">
        <v>75</v>
      </c>
    </row>
    <row r="23" spans="1:21" ht="18.75" customHeight="1" x14ac:dyDescent="0.45">
      <c r="B23" s="62">
        <f t="shared" si="0"/>
        <v>1</v>
      </c>
      <c r="C23" s="63">
        <v>1</v>
      </c>
      <c r="D23" s="63">
        <v>2</v>
      </c>
      <c r="E23" s="64" t="s">
        <v>74</v>
      </c>
      <c r="F23" s="66">
        <v>104</v>
      </c>
      <c r="G23" s="66" t="s">
        <v>75</v>
      </c>
      <c r="H23" s="13"/>
      <c r="I23" s="72">
        <v>1</v>
      </c>
      <c r="J23" s="73">
        <v>1</v>
      </c>
      <c r="K23" s="73">
        <v>2</v>
      </c>
      <c r="L23" s="74" t="s">
        <v>74</v>
      </c>
      <c r="M23" s="75">
        <v>277</v>
      </c>
      <c r="N23" s="75" t="s">
        <v>75</v>
      </c>
      <c r="O23"/>
      <c r="P23" s="62">
        <v>1</v>
      </c>
      <c r="Q23" s="81">
        <v>1</v>
      </c>
      <c r="R23" s="81">
        <v>2</v>
      </c>
      <c r="S23" s="82" t="s">
        <v>74</v>
      </c>
      <c r="T23" s="84">
        <v>4690</v>
      </c>
      <c r="U23" s="84" t="s">
        <v>75</v>
      </c>
    </row>
    <row r="24" spans="1:21" ht="18.75" customHeight="1" x14ac:dyDescent="0.45">
      <c r="B24" s="62">
        <f t="shared" si="0"/>
        <v>1</v>
      </c>
      <c r="C24" s="63">
        <v>2</v>
      </c>
      <c r="D24" s="63">
        <v>1</v>
      </c>
      <c r="E24" s="64" t="s">
        <v>74</v>
      </c>
      <c r="F24" s="66">
        <v>99.7</v>
      </c>
      <c r="G24" s="66" t="s">
        <v>75</v>
      </c>
      <c r="H24" s="13"/>
      <c r="I24" s="72">
        <v>1</v>
      </c>
      <c r="J24" s="73">
        <v>2</v>
      </c>
      <c r="K24" s="73">
        <v>1</v>
      </c>
      <c r="L24" s="74" t="s">
        <v>74</v>
      </c>
      <c r="M24" s="75">
        <v>265</v>
      </c>
      <c r="N24" s="75" t="s">
        <v>75</v>
      </c>
      <c r="O24"/>
      <c r="P24" s="62">
        <v>1</v>
      </c>
      <c r="Q24" s="81">
        <v>2</v>
      </c>
      <c r="R24" s="81">
        <v>1</v>
      </c>
      <c r="S24" s="82" t="s">
        <v>74</v>
      </c>
      <c r="T24" s="84">
        <v>4580</v>
      </c>
      <c r="U24" s="84" t="s">
        <v>75</v>
      </c>
    </row>
    <row r="25" spans="1:21" ht="18.75" customHeight="1" x14ac:dyDescent="0.45">
      <c r="B25" s="62">
        <f t="shared" si="0"/>
        <v>1</v>
      </c>
      <c r="C25" s="63">
        <v>2</v>
      </c>
      <c r="D25" s="63">
        <v>2</v>
      </c>
      <c r="E25" s="64" t="s">
        <v>74</v>
      </c>
      <c r="F25" s="66">
        <v>101</v>
      </c>
      <c r="G25" s="66" t="s">
        <v>75</v>
      </c>
      <c r="H25" s="13"/>
      <c r="I25" s="72">
        <v>1</v>
      </c>
      <c r="J25" s="73">
        <v>2</v>
      </c>
      <c r="K25" s="73">
        <v>2</v>
      </c>
      <c r="L25" s="74" t="s">
        <v>74</v>
      </c>
      <c r="M25" s="75">
        <v>271</v>
      </c>
      <c r="N25" s="75" t="s">
        <v>75</v>
      </c>
      <c r="O25"/>
      <c r="P25" s="62">
        <v>1</v>
      </c>
      <c r="Q25" s="81">
        <v>2</v>
      </c>
      <c r="R25" s="81">
        <v>2</v>
      </c>
      <c r="S25" s="82" t="s">
        <v>74</v>
      </c>
      <c r="T25" s="84">
        <v>4680</v>
      </c>
      <c r="U25" s="84" t="s">
        <v>75</v>
      </c>
    </row>
    <row r="26" spans="1:21" ht="18.75" customHeight="1" x14ac:dyDescent="0.45">
      <c r="B26" s="62">
        <f t="shared" si="0"/>
        <v>2</v>
      </c>
      <c r="C26" s="63">
        <v>1</v>
      </c>
      <c r="D26" s="63">
        <v>1</v>
      </c>
      <c r="E26" s="64" t="s">
        <v>76</v>
      </c>
      <c r="F26" s="66">
        <v>104</v>
      </c>
      <c r="G26" s="66" t="s">
        <v>75</v>
      </c>
      <c r="H26" s="13"/>
      <c r="I26" s="72">
        <v>2</v>
      </c>
      <c r="J26" s="73">
        <v>1</v>
      </c>
      <c r="K26" s="73">
        <v>1</v>
      </c>
      <c r="L26" s="74" t="s">
        <v>76</v>
      </c>
      <c r="M26" s="75">
        <v>278</v>
      </c>
      <c r="N26" s="75" t="s">
        <v>75</v>
      </c>
      <c r="O26"/>
      <c r="P26" s="62">
        <v>2</v>
      </c>
      <c r="Q26" s="81">
        <v>1</v>
      </c>
      <c r="R26" s="81">
        <v>1</v>
      </c>
      <c r="S26" s="82" t="s">
        <v>76</v>
      </c>
      <c r="T26" s="84">
        <v>4610</v>
      </c>
      <c r="U26" s="84" t="s">
        <v>75</v>
      </c>
    </row>
    <row r="27" spans="1:21" ht="18.75" customHeight="1" x14ac:dyDescent="0.45">
      <c r="B27" s="62">
        <f t="shared" si="0"/>
        <v>2</v>
      </c>
      <c r="C27" s="63">
        <v>1</v>
      </c>
      <c r="D27" s="63">
        <v>2</v>
      </c>
      <c r="E27" s="64" t="s">
        <v>76</v>
      </c>
      <c r="F27" s="66">
        <v>102</v>
      </c>
      <c r="G27" s="66" t="s">
        <v>75</v>
      </c>
      <c r="H27" s="13"/>
      <c r="I27" s="72">
        <v>2</v>
      </c>
      <c r="J27" s="73">
        <v>1</v>
      </c>
      <c r="K27" s="73">
        <v>2</v>
      </c>
      <c r="L27" s="74" t="s">
        <v>76</v>
      </c>
      <c r="M27" s="75">
        <v>266</v>
      </c>
      <c r="N27" s="75" t="s">
        <v>75</v>
      </c>
      <c r="O27"/>
      <c r="P27" s="62">
        <v>2</v>
      </c>
      <c r="Q27" s="81">
        <v>1</v>
      </c>
      <c r="R27" s="81">
        <v>2</v>
      </c>
      <c r="S27" s="82" t="s">
        <v>76</v>
      </c>
      <c r="T27" s="84">
        <v>4700</v>
      </c>
      <c r="U27" s="84" t="s">
        <v>75</v>
      </c>
    </row>
    <row r="28" spans="1:21" ht="18.75" customHeight="1" x14ac:dyDescent="0.45">
      <c r="B28" s="62">
        <f t="shared" si="0"/>
        <v>2</v>
      </c>
      <c r="C28" s="63">
        <v>2</v>
      </c>
      <c r="D28" s="63">
        <v>1</v>
      </c>
      <c r="E28" s="64" t="s">
        <v>76</v>
      </c>
      <c r="F28" s="66">
        <v>104</v>
      </c>
      <c r="G28" s="66" t="s">
        <v>75</v>
      </c>
      <c r="H28" s="13"/>
      <c r="I28" s="72">
        <v>2</v>
      </c>
      <c r="J28" s="73">
        <v>2</v>
      </c>
      <c r="K28" s="73">
        <v>1</v>
      </c>
      <c r="L28" s="74" t="s">
        <v>76</v>
      </c>
      <c r="M28" s="75">
        <v>273</v>
      </c>
      <c r="N28" s="75" t="s">
        <v>75</v>
      </c>
      <c r="O28"/>
      <c r="P28" s="62">
        <v>2</v>
      </c>
      <c r="Q28" s="81">
        <v>2</v>
      </c>
      <c r="R28" s="81">
        <v>1</v>
      </c>
      <c r="S28" s="82" t="s">
        <v>76</v>
      </c>
      <c r="T28" s="84">
        <v>4690</v>
      </c>
      <c r="U28" s="84" t="s">
        <v>75</v>
      </c>
    </row>
    <row r="29" spans="1:21" ht="18.75" customHeight="1" x14ac:dyDescent="0.45">
      <c r="B29" s="62">
        <f t="shared" si="0"/>
        <v>2</v>
      </c>
      <c r="C29" s="63">
        <v>2</v>
      </c>
      <c r="D29" s="63">
        <v>2</v>
      </c>
      <c r="E29" s="64" t="s">
        <v>76</v>
      </c>
      <c r="F29" s="66">
        <v>102</v>
      </c>
      <c r="G29" s="66" t="s">
        <v>75</v>
      </c>
      <c r="H29" s="13"/>
      <c r="I29" s="72">
        <v>2</v>
      </c>
      <c r="J29" s="73">
        <v>2</v>
      </c>
      <c r="K29" s="73">
        <v>2</v>
      </c>
      <c r="L29" s="74" t="s">
        <v>76</v>
      </c>
      <c r="M29" s="75">
        <v>278</v>
      </c>
      <c r="N29" s="75" t="s">
        <v>75</v>
      </c>
      <c r="O29"/>
      <c r="P29" s="62">
        <v>2</v>
      </c>
      <c r="Q29" s="81">
        <v>2</v>
      </c>
      <c r="R29" s="81">
        <v>2</v>
      </c>
      <c r="S29" s="82" t="s">
        <v>76</v>
      </c>
      <c r="T29" s="84">
        <v>4710</v>
      </c>
      <c r="U29" s="84" t="s">
        <v>75</v>
      </c>
    </row>
    <row r="30" spans="1:21" ht="18.75" customHeight="1" x14ac:dyDescent="0.45">
      <c r="B30" s="62">
        <f t="shared" si="0"/>
        <v>3</v>
      </c>
      <c r="C30" s="63">
        <v>1</v>
      </c>
      <c r="D30" s="63">
        <v>1</v>
      </c>
      <c r="E30" s="64" t="s">
        <v>77</v>
      </c>
      <c r="F30" s="66">
        <v>102</v>
      </c>
      <c r="G30" s="66" t="s">
        <v>75</v>
      </c>
      <c r="H30" s="13"/>
      <c r="I30" s="72">
        <v>3</v>
      </c>
      <c r="J30" s="73">
        <v>1</v>
      </c>
      <c r="K30" s="73">
        <v>1</v>
      </c>
      <c r="L30" s="74" t="s">
        <v>77</v>
      </c>
      <c r="M30" s="75">
        <v>272</v>
      </c>
      <c r="N30" s="75" t="s">
        <v>75</v>
      </c>
      <c r="O30"/>
      <c r="P30" s="62">
        <v>3</v>
      </c>
      <c r="Q30" s="81">
        <v>1</v>
      </c>
      <c r="R30" s="81">
        <v>1</v>
      </c>
      <c r="S30" s="82" t="s">
        <v>77</v>
      </c>
      <c r="T30" s="84">
        <v>4710</v>
      </c>
      <c r="U30" s="84" t="s">
        <v>75</v>
      </c>
    </row>
    <row r="31" spans="1:21" ht="18.75" customHeight="1" x14ac:dyDescent="0.45">
      <c r="B31" s="62">
        <f t="shared" si="0"/>
        <v>3</v>
      </c>
      <c r="C31" s="63">
        <v>1</v>
      </c>
      <c r="D31" s="63">
        <v>2</v>
      </c>
      <c r="E31" s="64" t="s">
        <v>77</v>
      </c>
      <c r="F31" s="66">
        <v>100</v>
      </c>
      <c r="G31" s="66" t="s">
        <v>75</v>
      </c>
      <c r="H31" s="13"/>
      <c r="I31" s="72">
        <v>3</v>
      </c>
      <c r="J31" s="73">
        <v>1</v>
      </c>
      <c r="K31" s="73">
        <v>2</v>
      </c>
      <c r="L31" s="74" t="s">
        <v>77</v>
      </c>
      <c r="M31" s="75">
        <v>276</v>
      </c>
      <c r="N31" s="75" t="s">
        <v>75</v>
      </c>
      <c r="O31"/>
      <c r="P31" s="62">
        <v>3</v>
      </c>
      <c r="Q31" s="81">
        <v>1</v>
      </c>
      <c r="R31" s="81">
        <v>2</v>
      </c>
      <c r="S31" s="82" t="s">
        <v>77</v>
      </c>
      <c r="T31" s="84">
        <v>4710</v>
      </c>
      <c r="U31" s="84" t="s">
        <v>75</v>
      </c>
    </row>
    <row r="32" spans="1:21" ht="18.75" customHeight="1" x14ac:dyDescent="0.45">
      <c r="B32" s="62">
        <f t="shared" si="0"/>
        <v>3</v>
      </c>
      <c r="C32" s="63">
        <v>2</v>
      </c>
      <c r="D32" s="63">
        <v>1</v>
      </c>
      <c r="E32" s="64" t="s">
        <v>77</v>
      </c>
      <c r="F32" s="66">
        <v>106</v>
      </c>
      <c r="G32" s="66" t="s">
        <v>75</v>
      </c>
      <c r="H32" s="13"/>
      <c r="I32" s="72">
        <v>3</v>
      </c>
      <c r="J32" s="73">
        <v>2</v>
      </c>
      <c r="K32" s="73">
        <v>1</v>
      </c>
      <c r="L32" s="74" t="s">
        <v>77</v>
      </c>
      <c r="M32" s="75">
        <v>279</v>
      </c>
      <c r="N32" s="75" t="s">
        <v>75</v>
      </c>
      <c r="O32"/>
      <c r="P32" s="62">
        <v>3</v>
      </c>
      <c r="Q32" s="81">
        <v>2</v>
      </c>
      <c r="R32" s="81">
        <v>1</v>
      </c>
      <c r="S32" s="82" t="s">
        <v>77</v>
      </c>
      <c r="T32" s="84">
        <v>4730</v>
      </c>
      <c r="U32" s="84" t="s">
        <v>75</v>
      </c>
    </row>
    <row r="33" spans="2:21" ht="18.75" customHeight="1" x14ac:dyDescent="0.45">
      <c r="B33" s="62">
        <f t="shared" si="0"/>
        <v>3</v>
      </c>
      <c r="C33" s="63">
        <v>2</v>
      </c>
      <c r="D33" s="63">
        <v>2</v>
      </c>
      <c r="E33" s="64" t="s">
        <v>77</v>
      </c>
      <c r="F33" s="66">
        <v>103</v>
      </c>
      <c r="G33" s="66" t="s">
        <v>75</v>
      </c>
      <c r="H33" s="13"/>
      <c r="I33" s="72">
        <v>3</v>
      </c>
      <c r="J33" s="73">
        <v>2</v>
      </c>
      <c r="K33" s="73">
        <v>2</v>
      </c>
      <c r="L33" s="74" t="s">
        <v>77</v>
      </c>
      <c r="M33" s="75">
        <v>277</v>
      </c>
      <c r="N33" s="75" t="s">
        <v>75</v>
      </c>
      <c r="O33"/>
      <c r="P33" s="62">
        <v>3</v>
      </c>
      <c r="Q33" s="81">
        <v>2</v>
      </c>
      <c r="R33" s="81">
        <v>2</v>
      </c>
      <c r="S33" s="82" t="s">
        <v>77</v>
      </c>
      <c r="T33" s="84">
        <v>4630</v>
      </c>
      <c r="U33" s="84" t="s">
        <v>75</v>
      </c>
    </row>
    <row r="34" spans="2:21" ht="18.75" customHeight="1" x14ac:dyDescent="0.45">
      <c r="B34" s="62">
        <f t="shared" si="0"/>
        <v>4</v>
      </c>
      <c r="C34" s="63">
        <v>1</v>
      </c>
      <c r="D34" s="63">
        <v>1</v>
      </c>
      <c r="E34" s="64" t="s">
        <v>78</v>
      </c>
      <c r="F34" s="66">
        <v>101</v>
      </c>
      <c r="G34" s="66" t="s">
        <v>75</v>
      </c>
      <c r="H34" s="13"/>
      <c r="I34" s="72">
        <v>4</v>
      </c>
      <c r="J34" s="73">
        <v>1</v>
      </c>
      <c r="K34" s="73">
        <v>1</v>
      </c>
      <c r="L34" s="74" t="s">
        <v>78</v>
      </c>
      <c r="M34" s="75">
        <v>268</v>
      </c>
      <c r="N34" s="75" t="s">
        <v>75</v>
      </c>
      <c r="O34"/>
      <c r="P34" s="62">
        <v>4</v>
      </c>
      <c r="Q34" s="81">
        <v>1</v>
      </c>
      <c r="R34" s="81">
        <v>1</v>
      </c>
      <c r="S34" s="82" t="s">
        <v>78</v>
      </c>
      <c r="T34" s="84">
        <v>4610</v>
      </c>
      <c r="U34" s="84" t="s">
        <v>75</v>
      </c>
    </row>
    <row r="35" spans="2:21" ht="18.75" customHeight="1" x14ac:dyDescent="0.45">
      <c r="B35" s="62">
        <f t="shared" si="0"/>
        <v>4</v>
      </c>
      <c r="C35" s="63">
        <v>1</v>
      </c>
      <c r="D35" s="63">
        <v>2</v>
      </c>
      <c r="E35" s="64" t="s">
        <v>78</v>
      </c>
      <c r="F35" s="66">
        <v>104</v>
      </c>
      <c r="G35" s="66" t="s">
        <v>75</v>
      </c>
      <c r="H35" s="13"/>
      <c r="I35" s="72">
        <v>4</v>
      </c>
      <c r="J35" s="73">
        <v>1</v>
      </c>
      <c r="K35" s="73">
        <v>2</v>
      </c>
      <c r="L35" s="74" t="s">
        <v>78</v>
      </c>
      <c r="M35" s="75">
        <v>271</v>
      </c>
      <c r="N35" s="75" t="s">
        <v>75</v>
      </c>
      <c r="O35"/>
      <c r="P35" s="62">
        <v>4</v>
      </c>
      <c r="Q35" s="81">
        <v>1</v>
      </c>
      <c r="R35" s="81">
        <v>2</v>
      </c>
      <c r="S35" s="82" t="s">
        <v>78</v>
      </c>
      <c r="T35" s="84">
        <v>4720</v>
      </c>
      <c r="U35" s="84" t="s">
        <v>75</v>
      </c>
    </row>
    <row r="36" spans="2:21" ht="18.75" customHeight="1" x14ac:dyDescent="0.45">
      <c r="B36" s="62">
        <f t="shared" si="0"/>
        <v>4</v>
      </c>
      <c r="C36" s="63">
        <v>2</v>
      </c>
      <c r="D36" s="63">
        <v>1</v>
      </c>
      <c r="E36" s="64" t="s">
        <v>78</v>
      </c>
      <c r="F36" s="66">
        <v>107</v>
      </c>
      <c r="G36" s="66" t="s">
        <v>75</v>
      </c>
      <c r="H36" s="13"/>
      <c r="I36" s="72">
        <v>4</v>
      </c>
      <c r="J36" s="73">
        <v>2</v>
      </c>
      <c r="K36" s="73">
        <v>1</v>
      </c>
      <c r="L36" s="74" t="s">
        <v>78</v>
      </c>
      <c r="M36" s="75">
        <v>272</v>
      </c>
      <c r="N36" s="75" t="s">
        <v>75</v>
      </c>
      <c r="O36"/>
      <c r="P36" s="62">
        <v>4</v>
      </c>
      <c r="Q36" s="81">
        <v>2</v>
      </c>
      <c r="R36" s="81">
        <v>1</v>
      </c>
      <c r="S36" s="82" t="s">
        <v>78</v>
      </c>
      <c r="T36" s="84">
        <v>4750</v>
      </c>
      <c r="U36" s="84" t="s">
        <v>75</v>
      </c>
    </row>
    <row r="37" spans="2:21" ht="18.75" customHeight="1" x14ac:dyDescent="0.45">
      <c r="B37" s="62">
        <f t="shared" si="0"/>
        <v>4</v>
      </c>
      <c r="C37" s="63">
        <v>2</v>
      </c>
      <c r="D37" s="63">
        <v>2</v>
      </c>
      <c r="E37" s="64" t="s">
        <v>78</v>
      </c>
      <c r="F37" s="67">
        <v>103</v>
      </c>
      <c r="G37" s="66" t="s">
        <v>75</v>
      </c>
      <c r="H37" s="13"/>
      <c r="I37" s="72">
        <v>4</v>
      </c>
      <c r="J37" s="73">
        <v>2</v>
      </c>
      <c r="K37" s="73">
        <v>2</v>
      </c>
      <c r="L37" s="74" t="s">
        <v>78</v>
      </c>
      <c r="M37" s="75">
        <v>269</v>
      </c>
      <c r="N37" s="75" t="s">
        <v>75</v>
      </c>
      <c r="O37"/>
      <c r="P37" s="62">
        <v>4</v>
      </c>
      <c r="Q37" s="81">
        <v>2</v>
      </c>
      <c r="R37" s="81">
        <v>2</v>
      </c>
      <c r="S37" s="82" t="s">
        <v>78</v>
      </c>
      <c r="T37" s="85">
        <v>4530</v>
      </c>
      <c r="U37" s="84" t="s">
        <v>75</v>
      </c>
    </row>
    <row r="38" spans="2:21" ht="18.75" customHeight="1" x14ac:dyDescent="0.45">
      <c r="B38" s="62">
        <f t="shared" si="0"/>
        <v>5</v>
      </c>
      <c r="C38" s="63">
        <v>1</v>
      </c>
      <c r="D38" s="63">
        <v>1</v>
      </c>
      <c r="E38" s="64" t="s">
        <v>79</v>
      </c>
      <c r="F38" s="66">
        <v>101</v>
      </c>
      <c r="G38" s="66" t="s">
        <v>75</v>
      </c>
      <c r="H38" s="13"/>
      <c r="I38" s="72">
        <v>5</v>
      </c>
      <c r="J38" s="73">
        <v>1</v>
      </c>
      <c r="K38" s="73">
        <v>1</v>
      </c>
      <c r="L38" s="74" t="s">
        <v>79</v>
      </c>
      <c r="M38" s="75">
        <v>266</v>
      </c>
      <c r="N38" s="75" t="s">
        <v>75</v>
      </c>
      <c r="O38"/>
      <c r="P38" s="62">
        <v>5</v>
      </c>
      <c r="Q38" s="81">
        <v>1</v>
      </c>
      <c r="R38" s="81">
        <v>1</v>
      </c>
      <c r="S38" s="82" t="s">
        <v>79</v>
      </c>
      <c r="T38" s="84">
        <v>4680</v>
      </c>
      <c r="U38" s="84" t="s">
        <v>75</v>
      </c>
    </row>
    <row r="39" spans="2:21" ht="18.75" customHeight="1" x14ac:dyDescent="0.45">
      <c r="B39" s="62">
        <f t="shared" si="0"/>
        <v>5</v>
      </c>
      <c r="C39" s="63">
        <v>1</v>
      </c>
      <c r="D39" s="63">
        <v>2</v>
      </c>
      <c r="E39" s="64" t="s">
        <v>79</v>
      </c>
      <c r="F39" s="66">
        <v>103</v>
      </c>
      <c r="G39" s="66" t="s">
        <v>75</v>
      </c>
      <c r="H39" s="13"/>
      <c r="I39" s="72">
        <v>5</v>
      </c>
      <c r="J39" s="73">
        <v>1</v>
      </c>
      <c r="K39" s="73">
        <v>2</v>
      </c>
      <c r="L39" s="74" t="s">
        <v>79</v>
      </c>
      <c r="M39" s="75">
        <v>274</v>
      </c>
      <c r="N39" s="75" t="s">
        <v>75</v>
      </c>
      <c r="O39"/>
      <c r="P39" s="62">
        <v>5</v>
      </c>
      <c r="Q39" s="81">
        <v>1</v>
      </c>
      <c r="R39" s="81">
        <v>2</v>
      </c>
      <c r="S39" s="82" t="s">
        <v>79</v>
      </c>
      <c r="T39" s="84">
        <v>4790</v>
      </c>
      <c r="U39" s="84" t="s">
        <v>75</v>
      </c>
    </row>
    <row r="40" spans="2:21" ht="18.75" customHeight="1" x14ac:dyDescent="0.45">
      <c r="B40" s="62">
        <f t="shared" si="0"/>
        <v>5</v>
      </c>
      <c r="C40" s="63">
        <v>2</v>
      </c>
      <c r="D40" s="63">
        <v>1</v>
      </c>
      <c r="E40" s="64" t="s">
        <v>79</v>
      </c>
      <c r="F40" s="66">
        <v>105</v>
      </c>
      <c r="G40" s="66" t="s">
        <v>75</v>
      </c>
      <c r="H40" s="13"/>
      <c r="I40" s="72">
        <v>5</v>
      </c>
      <c r="J40" s="73">
        <v>2</v>
      </c>
      <c r="K40" s="73">
        <v>1</v>
      </c>
      <c r="L40" s="74" t="s">
        <v>79</v>
      </c>
      <c r="M40" s="75">
        <v>272</v>
      </c>
      <c r="N40" s="75" t="s">
        <v>75</v>
      </c>
      <c r="O40"/>
      <c r="P40" s="62">
        <v>5</v>
      </c>
      <c r="Q40" s="81">
        <v>2</v>
      </c>
      <c r="R40" s="81">
        <v>1</v>
      </c>
      <c r="S40" s="82" t="s">
        <v>79</v>
      </c>
      <c r="T40" s="84">
        <v>4740</v>
      </c>
      <c r="U40" s="84" t="s">
        <v>75</v>
      </c>
    </row>
    <row r="41" spans="2:21" ht="18.75" customHeight="1" x14ac:dyDescent="0.45">
      <c r="B41" s="62">
        <f t="shared" si="0"/>
        <v>5</v>
      </c>
      <c r="C41" s="63">
        <v>2</v>
      </c>
      <c r="D41" s="63">
        <v>2</v>
      </c>
      <c r="E41" s="64" t="s">
        <v>79</v>
      </c>
      <c r="F41" s="66">
        <v>106</v>
      </c>
      <c r="G41" s="66" t="s">
        <v>75</v>
      </c>
      <c r="H41" s="13"/>
      <c r="I41" s="72">
        <v>5</v>
      </c>
      <c r="J41" s="73">
        <v>2</v>
      </c>
      <c r="K41" s="73">
        <v>2</v>
      </c>
      <c r="L41" s="74" t="s">
        <v>79</v>
      </c>
      <c r="M41" s="75">
        <v>282</v>
      </c>
      <c r="N41" s="75" t="s">
        <v>75</v>
      </c>
      <c r="O41"/>
      <c r="P41" s="62">
        <v>5</v>
      </c>
      <c r="Q41" s="81">
        <v>2</v>
      </c>
      <c r="R41" s="81">
        <v>2</v>
      </c>
      <c r="S41" s="82" t="s">
        <v>79</v>
      </c>
      <c r="T41" s="84">
        <v>4800</v>
      </c>
      <c r="U41" s="84" t="s">
        <v>75</v>
      </c>
    </row>
    <row r="42" spans="2:21" ht="18.75" customHeight="1" x14ac:dyDescent="0.45">
      <c r="B42" s="62">
        <f t="shared" si="0"/>
        <v>6</v>
      </c>
      <c r="C42" s="63">
        <v>1</v>
      </c>
      <c r="D42" s="63">
        <v>1</v>
      </c>
      <c r="E42" s="64" t="s">
        <v>80</v>
      </c>
      <c r="F42" s="66">
        <v>102</v>
      </c>
      <c r="G42" s="66" t="s">
        <v>75</v>
      </c>
      <c r="H42" s="13"/>
      <c r="I42" s="72">
        <v>6</v>
      </c>
      <c r="J42" s="73">
        <v>1</v>
      </c>
      <c r="K42" s="73">
        <v>1</v>
      </c>
      <c r="L42" s="74" t="s">
        <v>80</v>
      </c>
      <c r="M42" s="76">
        <v>276</v>
      </c>
      <c r="N42" s="75" t="s">
        <v>75</v>
      </c>
      <c r="O42"/>
      <c r="P42" s="62">
        <v>6</v>
      </c>
      <c r="Q42" s="81">
        <v>1</v>
      </c>
      <c r="R42" s="81">
        <v>1</v>
      </c>
      <c r="S42" s="82" t="s">
        <v>80</v>
      </c>
      <c r="T42" s="84">
        <v>4520</v>
      </c>
      <c r="U42" s="84" t="s">
        <v>75</v>
      </c>
    </row>
    <row r="43" spans="2:21" ht="18.75" customHeight="1" x14ac:dyDescent="0.45">
      <c r="B43" s="62">
        <f t="shared" si="0"/>
        <v>6</v>
      </c>
      <c r="C43" s="63">
        <v>1</v>
      </c>
      <c r="D43" s="63">
        <v>2</v>
      </c>
      <c r="E43" s="64" t="s">
        <v>80</v>
      </c>
      <c r="F43" s="67">
        <v>103</v>
      </c>
      <c r="G43" s="66" t="s">
        <v>75</v>
      </c>
      <c r="H43" s="13"/>
      <c r="I43" s="72">
        <v>6</v>
      </c>
      <c r="J43" s="73">
        <v>1</v>
      </c>
      <c r="K43" s="73">
        <v>2</v>
      </c>
      <c r="L43" s="74" t="s">
        <v>80</v>
      </c>
      <c r="M43" s="75">
        <v>275</v>
      </c>
      <c r="N43" s="75" t="s">
        <v>75</v>
      </c>
      <c r="O43"/>
      <c r="P43" s="62">
        <v>6</v>
      </c>
      <c r="Q43" s="81">
        <v>1</v>
      </c>
      <c r="R43" s="81">
        <v>2</v>
      </c>
      <c r="S43" s="82" t="s">
        <v>80</v>
      </c>
      <c r="T43" s="85">
        <v>4720</v>
      </c>
      <c r="U43" s="84" t="s">
        <v>75</v>
      </c>
    </row>
    <row r="44" spans="2:21" ht="18.75" customHeight="1" x14ac:dyDescent="0.45">
      <c r="B44" s="62">
        <f t="shared" si="0"/>
        <v>6</v>
      </c>
      <c r="C44" s="63">
        <v>2</v>
      </c>
      <c r="D44" s="63">
        <v>1</v>
      </c>
      <c r="E44" s="64" t="s">
        <v>80</v>
      </c>
      <c r="F44" s="66">
        <v>111</v>
      </c>
      <c r="G44" s="66" t="s">
        <v>75</v>
      </c>
      <c r="H44" s="13"/>
      <c r="I44" s="72">
        <v>6</v>
      </c>
      <c r="J44" s="73">
        <v>2</v>
      </c>
      <c r="K44" s="73">
        <v>1</v>
      </c>
      <c r="L44" s="74" t="s">
        <v>80</v>
      </c>
      <c r="M44" s="75">
        <v>278</v>
      </c>
      <c r="N44" s="75" t="s">
        <v>75</v>
      </c>
      <c r="O44"/>
      <c r="P44" s="62">
        <v>6</v>
      </c>
      <c r="Q44" s="81">
        <v>2</v>
      </c>
      <c r="R44" s="81">
        <v>1</v>
      </c>
      <c r="S44" s="82" t="s">
        <v>80</v>
      </c>
      <c r="T44" s="84">
        <v>4550</v>
      </c>
      <c r="U44" s="84" t="s">
        <v>75</v>
      </c>
    </row>
    <row r="45" spans="2:21" ht="18.75" customHeight="1" x14ac:dyDescent="0.45">
      <c r="B45" s="62">
        <f t="shared" si="0"/>
        <v>6</v>
      </c>
      <c r="C45" s="63">
        <v>2</v>
      </c>
      <c r="D45" s="63">
        <v>2</v>
      </c>
      <c r="E45" s="64" t="s">
        <v>80</v>
      </c>
      <c r="F45" s="66">
        <v>107</v>
      </c>
      <c r="G45" s="66" t="s">
        <v>75</v>
      </c>
      <c r="H45" s="13"/>
      <c r="I45" s="72">
        <v>6</v>
      </c>
      <c r="J45" s="73">
        <v>2</v>
      </c>
      <c r="K45" s="73">
        <v>2</v>
      </c>
      <c r="L45" s="74" t="s">
        <v>80</v>
      </c>
      <c r="M45" s="75">
        <v>280</v>
      </c>
      <c r="N45" s="75" t="s">
        <v>75</v>
      </c>
      <c r="O45"/>
      <c r="P45" s="62">
        <v>6</v>
      </c>
      <c r="Q45" s="81">
        <v>2</v>
      </c>
      <c r="R45" s="81">
        <v>2</v>
      </c>
      <c r="S45" s="82" t="s">
        <v>80</v>
      </c>
      <c r="T45" s="84">
        <v>4750</v>
      </c>
      <c r="U45" s="84" t="s">
        <v>75</v>
      </c>
    </row>
    <row r="46" spans="2:21" ht="18.75" customHeight="1" x14ac:dyDescent="0.45">
      <c r="B46" s="62">
        <f t="shared" si="0"/>
        <v>7</v>
      </c>
      <c r="C46" s="63">
        <v>1</v>
      </c>
      <c r="D46" s="63">
        <v>1</v>
      </c>
      <c r="E46" s="64" t="s">
        <v>81</v>
      </c>
      <c r="F46" s="66">
        <v>110</v>
      </c>
      <c r="G46" s="66" t="s">
        <v>75</v>
      </c>
      <c r="H46" s="13"/>
      <c r="I46" s="72">
        <v>7</v>
      </c>
      <c r="J46" s="73">
        <v>1</v>
      </c>
      <c r="K46" s="73">
        <v>1</v>
      </c>
      <c r="L46" s="74" t="s">
        <v>81</v>
      </c>
      <c r="M46" s="77">
        <v>268</v>
      </c>
      <c r="N46" s="77" t="s">
        <v>75</v>
      </c>
      <c r="O46"/>
      <c r="P46" s="62">
        <v>7</v>
      </c>
      <c r="Q46" s="81">
        <v>1</v>
      </c>
      <c r="R46" s="81">
        <v>1</v>
      </c>
      <c r="S46" s="82" t="s">
        <v>81</v>
      </c>
      <c r="T46" s="84">
        <v>4700</v>
      </c>
      <c r="U46" s="84" t="s">
        <v>75</v>
      </c>
    </row>
    <row r="47" spans="2:21" ht="18.75" customHeight="1" x14ac:dyDescent="0.45">
      <c r="B47" s="62">
        <f t="shared" si="0"/>
        <v>7</v>
      </c>
      <c r="C47" s="63">
        <v>1</v>
      </c>
      <c r="D47" s="63">
        <v>2</v>
      </c>
      <c r="E47" s="64" t="s">
        <v>81</v>
      </c>
      <c r="F47" s="66">
        <v>107</v>
      </c>
      <c r="G47" s="66" t="s">
        <v>75</v>
      </c>
      <c r="H47" s="13"/>
      <c r="I47" s="72">
        <v>7</v>
      </c>
      <c r="J47" s="73">
        <v>1</v>
      </c>
      <c r="K47" s="73">
        <v>2</v>
      </c>
      <c r="L47" s="74" t="s">
        <v>81</v>
      </c>
      <c r="M47" s="77">
        <v>268</v>
      </c>
      <c r="N47" s="77" t="s">
        <v>75</v>
      </c>
      <c r="O47"/>
      <c r="P47" s="62">
        <v>7</v>
      </c>
      <c r="Q47" s="81">
        <v>1</v>
      </c>
      <c r="R47" s="81">
        <v>2</v>
      </c>
      <c r="S47" s="82" t="s">
        <v>81</v>
      </c>
      <c r="T47" s="84">
        <v>4590</v>
      </c>
      <c r="U47" s="84" t="s">
        <v>75</v>
      </c>
    </row>
    <row r="48" spans="2:21" ht="18.75" customHeight="1" x14ac:dyDescent="0.45">
      <c r="B48" s="62">
        <f t="shared" si="0"/>
        <v>7</v>
      </c>
      <c r="C48" s="63">
        <v>2</v>
      </c>
      <c r="D48" s="63">
        <v>1</v>
      </c>
      <c r="E48" s="64" t="s">
        <v>81</v>
      </c>
      <c r="F48" s="66">
        <v>105</v>
      </c>
      <c r="G48" s="66" t="s">
        <v>75</v>
      </c>
      <c r="H48" s="13"/>
      <c r="I48" s="72">
        <v>7</v>
      </c>
      <c r="J48" s="73">
        <v>2</v>
      </c>
      <c r="K48" s="73">
        <v>1</v>
      </c>
      <c r="L48" s="74" t="s">
        <v>81</v>
      </c>
      <c r="M48" s="75">
        <v>272</v>
      </c>
      <c r="N48" s="75" t="s">
        <v>75</v>
      </c>
      <c r="O48"/>
      <c r="P48" s="62">
        <v>7</v>
      </c>
      <c r="Q48" s="81">
        <v>2</v>
      </c>
      <c r="R48" s="81">
        <v>1</v>
      </c>
      <c r="S48" s="82" t="s">
        <v>81</v>
      </c>
      <c r="T48" s="84">
        <v>4720</v>
      </c>
      <c r="U48" s="84" t="s">
        <v>75</v>
      </c>
    </row>
    <row r="49" spans="2:21" ht="18.75" customHeight="1" x14ac:dyDescent="0.45">
      <c r="B49" s="62">
        <f t="shared" si="0"/>
        <v>7</v>
      </c>
      <c r="C49" s="63">
        <v>2</v>
      </c>
      <c r="D49" s="63">
        <v>2</v>
      </c>
      <c r="E49" s="64" t="s">
        <v>81</v>
      </c>
      <c r="F49" s="66">
        <v>104</v>
      </c>
      <c r="G49" s="66" t="s">
        <v>75</v>
      </c>
      <c r="H49" s="13"/>
      <c r="I49" s="72">
        <v>7</v>
      </c>
      <c r="J49" s="73">
        <v>2</v>
      </c>
      <c r="K49" s="73">
        <v>2</v>
      </c>
      <c r="L49" s="74" t="s">
        <v>81</v>
      </c>
      <c r="M49" s="75">
        <v>270</v>
      </c>
      <c r="N49" s="75" t="s">
        <v>75</v>
      </c>
      <c r="O49"/>
      <c r="P49" s="62">
        <v>7</v>
      </c>
      <c r="Q49" s="81">
        <v>2</v>
      </c>
      <c r="R49" s="81">
        <v>2</v>
      </c>
      <c r="S49" s="82" t="s">
        <v>81</v>
      </c>
      <c r="T49" s="84">
        <v>4730</v>
      </c>
      <c r="U49" s="84" t="s">
        <v>75</v>
      </c>
    </row>
    <row r="50" spans="2:21" ht="18.75" customHeight="1" x14ac:dyDescent="0.45">
      <c r="B50" s="62">
        <f t="shared" si="0"/>
        <v>8</v>
      </c>
      <c r="C50" s="63">
        <v>1</v>
      </c>
      <c r="D50" s="63">
        <v>1</v>
      </c>
      <c r="E50" s="64" t="s">
        <v>82</v>
      </c>
      <c r="F50" s="66">
        <v>107</v>
      </c>
      <c r="G50" s="66" t="s">
        <v>75</v>
      </c>
      <c r="H50" s="13"/>
      <c r="I50" s="72">
        <v>8</v>
      </c>
      <c r="J50" s="73">
        <v>1</v>
      </c>
      <c r="K50" s="73">
        <v>1</v>
      </c>
      <c r="L50" s="74" t="s">
        <v>82</v>
      </c>
      <c r="M50" s="75">
        <v>278</v>
      </c>
      <c r="N50" s="75" t="s">
        <v>75</v>
      </c>
      <c r="O50"/>
      <c r="P50" s="62">
        <v>8</v>
      </c>
      <c r="Q50" s="81">
        <v>1</v>
      </c>
      <c r="R50" s="81">
        <v>1</v>
      </c>
      <c r="S50" s="82" t="s">
        <v>82</v>
      </c>
      <c r="T50" s="84">
        <v>4850</v>
      </c>
      <c r="U50" s="84" t="s">
        <v>75</v>
      </c>
    </row>
    <row r="51" spans="2:21" ht="18.75" customHeight="1" x14ac:dyDescent="0.45">
      <c r="B51" s="62">
        <f t="shared" si="0"/>
        <v>8</v>
      </c>
      <c r="C51" s="63">
        <v>1</v>
      </c>
      <c r="D51" s="63">
        <v>2</v>
      </c>
      <c r="E51" s="64" t="s">
        <v>82</v>
      </c>
      <c r="F51" s="66">
        <v>106</v>
      </c>
      <c r="G51" s="66" t="s">
        <v>75</v>
      </c>
      <c r="H51" s="13"/>
      <c r="I51" s="72">
        <v>8</v>
      </c>
      <c r="J51" s="73">
        <v>1</v>
      </c>
      <c r="K51" s="73">
        <v>2</v>
      </c>
      <c r="L51" s="74" t="s">
        <v>82</v>
      </c>
      <c r="M51" s="75">
        <v>280</v>
      </c>
      <c r="N51" s="75" t="s">
        <v>75</v>
      </c>
      <c r="O51"/>
      <c r="P51" s="62">
        <v>8</v>
      </c>
      <c r="Q51" s="81">
        <v>1</v>
      </c>
      <c r="R51" s="81">
        <v>2</v>
      </c>
      <c r="S51" s="82" t="s">
        <v>82</v>
      </c>
      <c r="T51" s="84">
        <v>4760</v>
      </c>
      <c r="U51" s="84" t="s">
        <v>75</v>
      </c>
    </row>
    <row r="52" spans="2:21" ht="18.75" customHeight="1" x14ac:dyDescent="0.45">
      <c r="B52" s="62">
        <f t="shared" si="0"/>
        <v>8</v>
      </c>
      <c r="C52" s="63">
        <v>2</v>
      </c>
      <c r="D52" s="63">
        <v>1</v>
      </c>
      <c r="E52" s="64" t="s">
        <v>82</v>
      </c>
      <c r="F52" s="66">
        <v>104</v>
      </c>
      <c r="G52" s="66" t="s">
        <v>75</v>
      </c>
      <c r="H52" s="13"/>
      <c r="I52" s="72">
        <v>8</v>
      </c>
      <c r="J52" s="73">
        <v>2</v>
      </c>
      <c r="K52" s="73">
        <v>1</v>
      </c>
      <c r="L52" s="74" t="s">
        <v>82</v>
      </c>
      <c r="M52" s="75">
        <v>269</v>
      </c>
      <c r="N52" s="75" t="s">
        <v>75</v>
      </c>
      <c r="O52"/>
      <c r="P52" s="62">
        <v>8</v>
      </c>
      <c r="Q52" s="81">
        <v>2</v>
      </c>
      <c r="R52" s="81">
        <v>1</v>
      </c>
      <c r="S52" s="82" t="s">
        <v>82</v>
      </c>
      <c r="T52" s="84">
        <v>4830</v>
      </c>
      <c r="U52" s="84" t="s">
        <v>75</v>
      </c>
    </row>
    <row r="53" spans="2:21" ht="18.75" customHeight="1" x14ac:dyDescent="0.45">
      <c r="B53" s="62">
        <f t="shared" si="0"/>
        <v>8</v>
      </c>
      <c r="C53" s="63">
        <v>2</v>
      </c>
      <c r="D53" s="63">
        <v>2</v>
      </c>
      <c r="E53" s="64" t="s">
        <v>82</v>
      </c>
      <c r="F53" s="66">
        <v>105</v>
      </c>
      <c r="G53" s="66" t="s">
        <v>75</v>
      </c>
      <c r="H53" s="13"/>
      <c r="I53" s="72">
        <v>8</v>
      </c>
      <c r="J53" s="73">
        <v>2</v>
      </c>
      <c r="K53" s="73">
        <v>2</v>
      </c>
      <c r="L53" s="74" t="s">
        <v>82</v>
      </c>
      <c r="M53" s="75">
        <v>268</v>
      </c>
      <c r="N53" s="75" t="s">
        <v>75</v>
      </c>
      <c r="O53"/>
      <c r="P53" s="62">
        <v>8</v>
      </c>
      <c r="Q53" s="81">
        <v>2</v>
      </c>
      <c r="R53" s="81">
        <v>2</v>
      </c>
      <c r="S53" s="82" t="s">
        <v>82</v>
      </c>
      <c r="T53" s="84">
        <v>4720</v>
      </c>
      <c r="U53" s="84" t="s">
        <v>75</v>
      </c>
    </row>
    <row r="54" spans="2:21" ht="18.75" customHeight="1" x14ac:dyDescent="0.45">
      <c r="B54" s="62">
        <f t="shared" si="0"/>
        <v>9</v>
      </c>
      <c r="C54" s="63">
        <v>1</v>
      </c>
      <c r="D54" s="63">
        <v>1</v>
      </c>
      <c r="E54" s="64" t="s">
        <v>83</v>
      </c>
      <c r="F54" s="66">
        <v>107</v>
      </c>
      <c r="G54" s="66" t="s">
        <v>75</v>
      </c>
      <c r="H54" s="13"/>
      <c r="I54" s="72">
        <v>9</v>
      </c>
      <c r="J54" s="73">
        <v>1</v>
      </c>
      <c r="K54" s="73">
        <v>1</v>
      </c>
      <c r="L54" s="74" t="s">
        <v>83</v>
      </c>
      <c r="M54" s="75">
        <v>278</v>
      </c>
      <c r="N54" s="75" t="s">
        <v>75</v>
      </c>
      <c r="O54"/>
      <c r="P54" s="62">
        <v>9</v>
      </c>
      <c r="Q54" s="81">
        <v>1</v>
      </c>
      <c r="R54" s="81">
        <v>1</v>
      </c>
      <c r="S54" s="82" t="s">
        <v>83</v>
      </c>
      <c r="T54" s="84">
        <v>4700</v>
      </c>
      <c r="U54" s="84" t="s">
        <v>75</v>
      </c>
    </row>
    <row r="55" spans="2:21" ht="18.75" customHeight="1" x14ac:dyDescent="0.45">
      <c r="B55" s="62">
        <f t="shared" si="0"/>
        <v>9</v>
      </c>
      <c r="C55" s="63">
        <v>1</v>
      </c>
      <c r="D55" s="63">
        <v>2</v>
      </c>
      <c r="E55" s="64" t="s">
        <v>83</v>
      </c>
      <c r="F55" s="66">
        <v>107</v>
      </c>
      <c r="G55" s="66" t="s">
        <v>75</v>
      </c>
      <c r="H55" s="13"/>
      <c r="I55" s="72">
        <v>9</v>
      </c>
      <c r="J55" s="73">
        <v>1</v>
      </c>
      <c r="K55" s="73">
        <v>2</v>
      </c>
      <c r="L55" s="74" t="s">
        <v>83</v>
      </c>
      <c r="M55" s="75">
        <v>277</v>
      </c>
      <c r="N55" s="75" t="s">
        <v>75</v>
      </c>
      <c r="O55"/>
      <c r="P55" s="62">
        <v>9</v>
      </c>
      <c r="Q55" s="81">
        <v>1</v>
      </c>
      <c r="R55" s="81">
        <v>2</v>
      </c>
      <c r="S55" s="82" t="s">
        <v>83</v>
      </c>
      <c r="T55" s="84">
        <v>4840</v>
      </c>
      <c r="U55" s="84" t="s">
        <v>75</v>
      </c>
    </row>
    <row r="56" spans="2:21" ht="18.75" customHeight="1" x14ac:dyDescent="0.45">
      <c r="B56" s="62">
        <f t="shared" si="0"/>
        <v>9</v>
      </c>
      <c r="C56" s="63">
        <v>2</v>
      </c>
      <c r="D56" s="63">
        <v>1</v>
      </c>
      <c r="E56" s="64" t="s">
        <v>83</v>
      </c>
      <c r="F56" s="66">
        <v>104</v>
      </c>
      <c r="G56" s="66" t="s">
        <v>75</v>
      </c>
      <c r="H56" s="13"/>
      <c r="I56" s="72">
        <v>9</v>
      </c>
      <c r="J56" s="73">
        <v>2</v>
      </c>
      <c r="K56" s="73">
        <v>1</v>
      </c>
      <c r="L56" s="74" t="s">
        <v>83</v>
      </c>
      <c r="M56" s="75">
        <v>272</v>
      </c>
      <c r="N56" s="75" t="s">
        <v>75</v>
      </c>
      <c r="O56"/>
      <c r="P56" s="62">
        <v>9</v>
      </c>
      <c r="Q56" s="81">
        <v>2</v>
      </c>
      <c r="R56" s="81">
        <v>1</v>
      </c>
      <c r="S56" s="82" t="s">
        <v>83</v>
      </c>
      <c r="T56" s="84">
        <v>4720</v>
      </c>
      <c r="U56" s="84" t="s">
        <v>75</v>
      </c>
    </row>
    <row r="57" spans="2:21" ht="18.75" customHeight="1" x14ac:dyDescent="0.45">
      <c r="B57" s="62">
        <f t="shared" si="0"/>
        <v>9</v>
      </c>
      <c r="C57" s="63">
        <v>2</v>
      </c>
      <c r="D57" s="63">
        <v>2</v>
      </c>
      <c r="E57" s="64" t="s">
        <v>83</v>
      </c>
      <c r="F57" s="66">
        <v>102</v>
      </c>
      <c r="G57" s="66" t="s">
        <v>75</v>
      </c>
      <c r="H57" s="13"/>
      <c r="I57" s="72">
        <v>9</v>
      </c>
      <c r="J57" s="73">
        <v>2</v>
      </c>
      <c r="K57" s="73">
        <v>2</v>
      </c>
      <c r="L57" s="74" t="s">
        <v>83</v>
      </c>
      <c r="M57" s="75">
        <v>273</v>
      </c>
      <c r="N57" s="75" t="s">
        <v>75</v>
      </c>
      <c r="O57"/>
      <c r="P57" s="62">
        <v>9</v>
      </c>
      <c r="Q57" s="81">
        <v>2</v>
      </c>
      <c r="R57" s="81">
        <v>2</v>
      </c>
      <c r="S57" s="82" t="s">
        <v>83</v>
      </c>
      <c r="T57" s="84">
        <v>4830</v>
      </c>
      <c r="U57" s="84" t="s">
        <v>75</v>
      </c>
    </row>
    <row r="58" spans="2:21" ht="18.75" customHeight="1" x14ac:dyDescent="0.45">
      <c r="B58" s="62">
        <f t="shared" si="0"/>
        <v>10</v>
      </c>
      <c r="C58" s="63">
        <v>1</v>
      </c>
      <c r="D58" s="63">
        <v>1</v>
      </c>
      <c r="E58" s="64" t="s">
        <v>84</v>
      </c>
      <c r="F58" s="66">
        <v>107</v>
      </c>
      <c r="G58" s="66" t="s">
        <v>75</v>
      </c>
      <c r="H58" s="13"/>
      <c r="I58" s="72">
        <v>10</v>
      </c>
      <c r="J58" s="73">
        <v>1</v>
      </c>
      <c r="K58" s="73">
        <v>1</v>
      </c>
      <c r="L58" s="74" t="s">
        <v>84</v>
      </c>
      <c r="M58" s="75">
        <v>278</v>
      </c>
      <c r="N58" s="75" t="s">
        <v>75</v>
      </c>
      <c r="O58"/>
      <c r="P58" s="62">
        <v>10</v>
      </c>
      <c r="Q58" s="81">
        <v>1</v>
      </c>
      <c r="R58" s="81">
        <v>1</v>
      </c>
      <c r="S58" s="82" t="s">
        <v>84</v>
      </c>
      <c r="T58" s="84">
        <v>4740</v>
      </c>
      <c r="U58" s="84" t="s">
        <v>75</v>
      </c>
    </row>
    <row r="59" spans="2:21" ht="18.75" customHeight="1" x14ac:dyDescent="0.45">
      <c r="B59" s="62">
        <f t="shared" si="0"/>
        <v>10</v>
      </c>
      <c r="C59" s="63">
        <v>1</v>
      </c>
      <c r="D59" s="63">
        <v>2</v>
      </c>
      <c r="E59" s="64" t="s">
        <v>84</v>
      </c>
      <c r="F59" s="66">
        <v>106</v>
      </c>
      <c r="G59" s="66" t="s">
        <v>75</v>
      </c>
      <c r="H59" s="13"/>
      <c r="I59" s="72">
        <v>10</v>
      </c>
      <c r="J59" s="73">
        <v>1</v>
      </c>
      <c r="K59" s="73">
        <v>2</v>
      </c>
      <c r="L59" s="74" t="s">
        <v>84</v>
      </c>
      <c r="M59" s="75">
        <v>278</v>
      </c>
      <c r="N59" s="75" t="s">
        <v>75</v>
      </c>
      <c r="O59"/>
      <c r="P59" s="62">
        <v>10</v>
      </c>
      <c r="Q59" s="81">
        <v>1</v>
      </c>
      <c r="R59" s="81">
        <v>2</v>
      </c>
      <c r="S59" s="82" t="s">
        <v>84</v>
      </c>
      <c r="T59" s="84">
        <v>4710</v>
      </c>
      <c r="U59" s="84" t="s">
        <v>75</v>
      </c>
    </row>
    <row r="60" spans="2:21" ht="18.75" customHeight="1" x14ac:dyDescent="0.45">
      <c r="B60" s="62">
        <f t="shared" si="0"/>
        <v>10</v>
      </c>
      <c r="C60" s="63">
        <v>2</v>
      </c>
      <c r="D60" s="63">
        <v>1</v>
      </c>
      <c r="E60" s="64" t="s">
        <v>84</v>
      </c>
      <c r="F60" s="66">
        <v>104</v>
      </c>
      <c r="G60" s="66" t="s">
        <v>75</v>
      </c>
      <c r="H60" s="13"/>
      <c r="I60" s="72">
        <v>10</v>
      </c>
      <c r="J60" s="73">
        <v>2</v>
      </c>
      <c r="K60" s="73">
        <v>1</v>
      </c>
      <c r="L60" s="74" t="s">
        <v>84</v>
      </c>
      <c r="M60" s="75">
        <v>281</v>
      </c>
      <c r="N60" s="75" t="s">
        <v>75</v>
      </c>
      <c r="O60"/>
      <c r="P60" s="62">
        <v>10</v>
      </c>
      <c r="Q60" s="81">
        <v>2</v>
      </c>
      <c r="R60" s="81">
        <v>1</v>
      </c>
      <c r="S60" s="82" t="s">
        <v>84</v>
      </c>
      <c r="T60" s="84">
        <v>4750</v>
      </c>
      <c r="U60" s="84" t="s">
        <v>75</v>
      </c>
    </row>
    <row r="61" spans="2:21" ht="18.75" customHeight="1" x14ac:dyDescent="0.45">
      <c r="B61" s="62">
        <f t="shared" si="0"/>
        <v>10</v>
      </c>
      <c r="C61" s="63">
        <v>2</v>
      </c>
      <c r="D61" s="63">
        <v>2</v>
      </c>
      <c r="E61" s="64" t="s">
        <v>84</v>
      </c>
      <c r="F61" s="117">
        <v>105</v>
      </c>
      <c r="G61" s="66" t="s">
        <v>75</v>
      </c>
      <c r="H61" s="13"/>
      <c r="I61" s="72">
        <v>10</v>
      </c>
      <c r="J61" s="73">
        <v>2</v>
      </c>
      <c r="K61" s="73">
        <v>2</v>
      </c>
      <c r="L61" s="74" t="s">
        <v>84</v>
      </c>
      <c r="M61" s="122">
        <v>274</v>
      </c>
      <c r="N61" s="75" t="s">
        <v>75</v>
      </c>
      <c r="O61"/>
      <c r="P61" s="62">
        <v>10</v>
      </c>
      <c r="Q61" s="81">
        <v>2</v>
      </c>
      <c r="R61" s="81">
        <v>2</v>
      </c>
      <c r="S61" s="82" t="s">
        <v>84</v>
      </c>
      <c r="T61" s="126">
        <v>4710</v>
      </c>
      <c r="U61" s="84" t="s">
        <v>75</v>
      </c>
    </row>
    <row r="62" spans="2:21" ht="18.75" customHeight="1" x14ac:dyDescent="0.45">
      <c r="B62" s="62">
        <f t="shared" si="0"/>
        <v>11</v>
      </c>
      <c r="C62" s="63">
        <v>1</v>
      </c>
      <c r="D62" s="63">
        <v>1</v>
      </c>
      <c r="E62" s="140">
        <v>46328</v>
      </c>
      <c r="F62" s="114">
        <v>102</v>
      </c>
      <c r="G62" s="116" t="s">
        <v>85</v>
      </c>
      <c r="H62" s="13"/>
      <c r="I62" s="72">
        <v>11</v>
      </c>
      <c r="J62" s="73">
        <v>1</v>
      </c>
      <c r="K62" s="73">
        <v>1</v>
      </c>
      <c r="L62" s="120">
        <v>46328</v>
      </c>
      <c r="M62" s="119">
        <v>269</v>
      </c>
      <c r="N62" s="121" t="s">
        <v>85</v>
      </c>
      <c r="O62"/>
      <c r="P62" s="62">
        <v>11</v>
      </c>
      <c r="Q62" s="81">
        <v>1</v>
      </c>
      <c r="R62" s="81">
        <v>1</v>
      </c>
      <c r="S62" s="135">
        <v>46328</v>
      </c>
      <c r="T62" s="143">
        <v>4580</v>
      </c>
      <c r="U62" s="125" t="s">
        <v>85</v>
      </c>
    </row>
    <row r="63" spans="2:21" ht="18.75" customHeight="1" x14ac:dyDescent="0.45">
      <c r="B63" s="62">
        <f t="shared" si="0"/>
        <v>11</v>
      </c>
      <c r="C63" s="63">
        <v>1</v>
      </c>
      <c r="D63" s="138">
        <v>2</v>
      </c>
      <c r="E63" s="137">
        <v>46328</v>
      </c>
      <c r="F63" s="139">
        <v>100</v>
      </c>
      <c r="G63" s="116" t="s">
        <v>85</v>
      </c>
      <c r="H63" s="13"/>
      <c r="I63" s="72">
        <v>11</v>
      </c>
      <c r="J63" s="73">
        <v>1</v>
      </c>
      <c r="K63" s="73">
        <v>2</v>
      </c>
      <c r="L63" s="132">
        <v>46328</v>
      </c>
      <c r="M63" s="119">
        <v>273</v>
      </c>
      <c r="N63" s="121" t="s">
        <v>85</v>
      </c>
      <c r="O63"/>
      <c r="P63" s="62">
        <v>11</v>
      </c>
      <c r="Q63" s="81">
        <v>1</v>
      </c>
      <c r="R63" s="134">
        <v>2</v>
      </c>
      <c r="S63" s="142">
        <v>46328</v>
      </c>
      <c r="T63" s="123">
        <v>4710</v>
      </c>
      <c r="U63" s="125" t="s">
        <v>85</v>
      </c>
    </row>
    <row r="64" spans="2:21" ht="18.75" customHeight="1" x14ac:dyDescent="0.45">
      <c r="B64" s="62">
        <f t="shared" si="0"/>
        <v>11</v>
      </c>
      <c r="C64" s="63">
        <v>2</v>
      </c>
      <c r="D64" s="138">
        <v>1</v>
      </c>
      <c r="E64" s="137">
        <v>46358</v>
      </c>
      <c r="F64" s="139">
        <v>99</v>
      </c>
      <c r="G64" s="116" t="s">
        <v>75</v>
      </c>
      <c r="H64" s="13"/>
      <c r="I64" s="72">
        <v>11</v>
      </c>
      <c r="J64" s="73">
        <v>2</v>
      </c>
      <c r="K64" s="129">
        <v>1</v>
      </c>
      <c r="L64" s="128">
        <v>46358</v>
      </c>
      <c r="M64" s="130">
        <v>269</v>
      </c>
      <c r="N64" s="121" t="s">
        <v>75</v>
      </c>
      <c r="O64"/>
      <c r="P64" s="62">
        <v>11</v>
      </c>
      <c r="Q64" s="81">
        <v>2</v>
      </c>
      <c r="R64" s="134">
        <v>1</v>
      </c>
      <c r="S64" s="142">
        <v>46358</v>
      </c>
      <c r="T64" s="123">
        <v>4750</v>
      </c>
      <c r="U64" s="125" t="s">
        <v>75</v>
      </c>
    </row>
    <row r="65" spans="2:21" ht="18.75" customHeight="1" x14ac:dyDescent="0.45">
      <c r="B65" s="62">
        <f t="shared" si="0"/>
        <v>11</v>
      </c>
      <c r="C65" s="63">
        <v>2</v>
      </c>
      <c r="D65" s="138">
        <v>2</v>
      </c>
      <c r="E65" s="137">
        <v>46358</v>
      </c>
      <c r="F65" s="139">
        <v>99</v>
      </c>
      <c r="G65" s="116" t="s">
        <v>75</v>
      </c>
      <c r="H65" s="13"/>
      <c r="I65" s="72">
        <v>11</v>
      </c>
      <c r="J65" s="73">
        <v>2</v>
      </c>
      <c r="K65" s="129">
        <v>2</v>
      </c>
      <c r="L65" s="128">
        <v>46358</v>
      </c>
      <c r="M65" s="130">
        <v>270</v>
      </c>
      <c r="N65" s="121" t="s">
        <v>75</v>
      </c>
      <c r="O65"/>
      <c r="P65" s="62">
        <v>11</v>
      </c>
      <c r="Q65" s="81">
        <v>2</v>
      </c>
      <c r="R65" s="134">
        <v>2</v>
      </c>
      <c r="S65" s="142">
        <v>46358</v>
      </c>
      <c r="T65" s="123">
        <v>4690</v>
      </c>
      <c r="U65" s="125" t="s">
        <v>75</v>
      </c>
    </row>
    <row r="66" spans="2:21" ht="18.75" customHeight="1" x14ac:dyDescent="0.45">
      <c r="B66" s="62">
        <f t="shared" si="0"/>
        <v>12</v>
      </c>
      <c r="C66" s="63">
        <v>1</v>
      </c>
      <c r="D66" s="138">
        <v>1</v>
      </c>
      <c r="E66" s="137" t="s">
        <v>86</v>
      </c>
      <c r="F66" s="139">
        <v>99</v>
      </c>
      <c r="G66" s="116" t="s">
        <v>75</v>
      </c>
      <c r="H66" s="13"/>
      <c r="I66" s="72">
        <v>12</v>
      </c>
      <c r="J66" s="73">
        <v>1</v>
      </c>
      <c r="K66" s="129">
        <v>1</v>
      </c>
      <c r="L66" s="128" t="s">
        <v>86</v>
      </c>
      <c r="M66" s="130">
        <v>260</v>
      </c>
      <c r="N66" s="121" t="s">
        <v>75</v>
      </c>
      <c r="O66"/>
      <c r="P66" s="62">
        <v>12</v>
      </c>
      <c r="Q66" s="81">
        <v>1</v>
      </c>
      <c r="R66" s="134">
        <v>1</v>
      </c>
      <c r="S66" s="142" t="s">
        <v>86</v>
      </c>
      <c r="T66" s="123">
        <v>4640</v>
      </c>
      <c r="U66" s="125" t="s">
        <v>75</v>
      </c>
    </row>
    <row r="67" spans="2:21" ht="18.75" customHeight="1" x14ac:dyDescent="0.45">
      <c r="B67" s="62">
        <f t="shared" si="0"/>
        <v>12</v>
      </c>
      <c r="C67" s="63">
        <v>1</v>
      </c>
      <c r="D67" s="138">
        <v>2</v>
      </c>
      <c r="E67" s="137" t="s">
        <v>86</v>
      </c>
      <c r="F67" s="139">
        <v>98.5</v>
      </c>
      <c r="G67" s="116" t="s">
        <v>75</v>
      </c>
      <c r="H67" s="13"/>
      <c r="I67" s="72">
        <v>12</v>
      </c>
      <c r="J67" s="73">
        <v>1</v>
      </c>
      <c r="K67" s="129">
        <v>2</v>
      </c>
      <c r="L67" s="128" t="s">
        <v>86</v>
      </c>
      <c r="M67" s="130">
        <v>267</v>
      </c>
      <c r="N67" s="121" t="s">
        <v>75</v>
      </c>
      <c r="O67"/>
      <c r="P67" s="62">
        <v>12</v>
      </c>
      <c r="Q67" s="81">
        <v>1</v>
      </c>
      <c r="R67" s="134">
        <v>2</v>
      </c>
      <c r="S67" s="142" t="s">
        <v>86</v>
      </c>
      <c r="T67" s="123">
        <v>4630</v>
      </c>
      <c r="U67" s="125" t="s">
        <v>75</v>
      </c>
    </row>
    <row r="68" spans="2:21" ht="18.75" customHeight="1" x14ac:dyDescent="0.45">
      <c r="B68" s="62">
        <f t="shared" si="0"/>
        <v>12</v>
      </c>
      <c r="C68" s="63">
        <v>2</v>
      </c>
      <c r="D68" s="138">
        <v>1</v>
      </c>
      <c r="E68" s="137" t="s">
        <v>87</v>
      </c>
      <c r="F68" s="139">
        <v>103</v>
      </c>
      <c r="G68" s="116" t="s">
        <v>75</v>
      </c>
      <c r="H68" s="13"/>
      <c r="I68" s="72">
        <v>12</v>
      </c>
      <c r="J68" s="73">
        <v>2</v>
      </c>
      <c r="K68" s="129">
        <v>1</v>
      </c>
      <c r="L68" s="128" t="s">
        <v>87</v>
      </c>
      <c r="M68" s="130">
        <v>270</v>
      </c>
      <c r="N68" s="121" t="s">
        <v>75</v>
      </c>
      <c r="O68"/>
      <c r="P68" s="62">
        <v>12</v>
      </c>
      <c r="Q68" s="81">
        <v>2</v>
      </c>
      <c r="R68" s="134">
        <v>1</v>
      </c>
      <c r="S68" s="142" t="s">
        <v>87</v>
      </c>
      <c r="T68" s="123">
        <v>4650</v>
      </c>
      <c r="U68" s="125" t="s">
        <v>75</v>
      </c>
    </row>
    <row r="69" spans="2:21" ht="18.75" customHeight="1" x14ac:dyDescent="0.45">
      <c r="B69" s="62">
        <f t="shared" si="0"/>
        <v>12</v>
      </c>
      <c r="C69" s="63">
        <v>2</v>
      </c>
      <c r="D69" s="138">
        <v>2</v>
      </c>
      <c r="E69" s="137" t="s">
        <v>87</v>
      </c>
      <c r="F69" s="139">
        <v>102</v>
      </c>
      <c r="G69" s="116" t="s">
        <v>75</v>
      </c>
      <c r="H69" s="13"/>
      <c r="I69" s="72">
        <v>12</v>
      </c>
      <c r="J69" s="73">
        <v>2</v>
      </c>
      <c r="K69" s="129">
        <v>2</v>
      </c>
      <c r="L69" s="128" t="s">
        <v>87</v>
      </c>
      <c r="M69" s="130">
        <v>272</v>
      </c>
      <c r="N69" s="121" t="s">
        <v>75</v>
      </c>
      <c r="O69"/>
      <c r="P69" s="62">
        <v>12</v>
      </c>
      <c r="Q69" s="81">
        <v>2</v>
      </c>
      <c r="R69" s="134">
        <v>2</v>
      </c>
      <c r="S69" s="142" t="s">
        <v>87</v>
      </c>
      <c r="T69" s="123">
        <v>4740</v>
      </c>
      <c r="U69" s="125" t="s">
        <v>75</v>
      </c>
    </row>
    <row r="70" spans="2:21" ht="18.75" customHeight="1" x14ac:dyDescent="0.45">
      <c r="B70" s="62">
        <f t="shared" si="0"/>
        <v>13</v>
      </c>
      <c r="C70" s="63">
        <v>1</v>
      </c>
      <c r="D70" s="63">
        <v>1</v>
      </c>
      <c r="E70" s="141" t="s">
        <v>88</v>
      </c>
      <c r="F70" s="118">
        <v>106</v>
      </c>
      <c r="G70" s="66" t="s">
        <v>75</v>
      </c>
      <c r="H70" s="13"/>
      <c r="I70" s="72">
        <v>13</v>
      </c>
      <c r="J70" s="73">
        <v>1</v>
      </c>
      <c r="K70" s="129">
        <v>1</v>
      </c>
      <c r="L70" s="128" t="s">
        <v>88</v>
      </c>
      <c r="M70" s="131">
        <v>267</v>
      </c>
      <c r="N70" s="75" t="s">
        <v>75</v>
      </c>
      <c r="O70"/>
      <c r="P70" s="62">
        <v>13</v>
      </c>
      <c r="Q70" s="81">
        <v>1</v>
      </c>
      <c r="R70" s="81">
        <v>1</v>
      </c>
      <c r="S70" s="136" t="s">
        <v>88</v>
      </c>
      <c r="T70" s="127">
        <v>4630</v>
      </c>
      <c r="U70" s="84" t="s">
        <v>75</v>
      </c>
    </row>
    <row r="71" spans="2:21" ht="18.75" customHeight="1" x14ac:dyDescent="0.45">
      <c r="B71" s="62">
        <f t="shared" si="0"/>
        <v>13</v>
      </c>
      <c r="C71" s="63">
        <v>1</v>
      </c>
      <c r="D71" s="63">
        <v>2</v>
      </c>
      <c r="E71" s="115" t="s">
        <v>88</v>
      </c>
      <c r="F71" s="66">
        <v>103</v>
      </c>
      <c r="G71" s="66" t="s">
        <v>75</v>
      </c>
      <c r="H71" s="13"/>
      <c r="I71" s="72">
        <v>13</v>
      </c>
      <c r="J71" s="73">
        <v>1</v>
      </c>
      <c r="K71" s="129">
        <v>2</v>
      </c>
      <c r="L71" s="128" t="s">
        <v>88</v>
      </c>
      <c r="M71" s="121">
        <v>266</v>
      </c>
      <c r="N71" s="75" t="s">
        <v>75</v>
      </c>
      <c r="O71"/>
      <c r="P71" s="62">
        <v>13</v>
      </c>
      <c r="Q71" s="81">
        <v>1</v>
      </c>
      <c r="R71" s="81">
        <v>2</v>
      </c>
      <c r="S71" s="124" t="s">
        <v>88</v>
      </c>
      <c r="T71" s="84">
        <v>4720</v>
      </c>
      <c r="U71" s="84" t="s">
        <v>75</v>
      </c>
    </row>
    <row r="72" spans="2:21" ht="18.75" customHeight="1" x14ac:dyDescent="0.45">
      <c r="B72" s="62">
        <f t="shared" si="0"/>
        <v>13</v>
      </c>
      <c r="C72" s="63">
        <v>2</v>
      </c>
      <c r="D72" s="63">
        <v>1</v>
      </c>
      <c r="E72" s="115" t="s">
        <v>88</v>
      </c>
      <c r="F72" s="66">
        <v>105</v>
      </c>
      <c r="G72" s="66" t="s">
        <v>75</v>
      </c>
      <c r="H72" s="13"/>
      <c r="I72" s="72">
        <v>13</v>
      </c>
      <c r="J72" s="73">
        <v>2</v>
      </c>
      <c r="K72" s="73">
        <v>1</v>
      </c>
      <c r="L72" s="133" t="s">
        <v>88</v>
      </c>
      <c r="M72" s="75">
        <v>281</v>
      </c>
      <c r="N72" s="75" t="s">
        <v>75</v>
      </c>
      <c r="O72"/>
      <c r="P72" s="62">
        <v>13</v>
      </c>
      <c r="Q72" s="81">
        <v>2</v>
      </c>
      <c r="R72" s="81">
        <v>1</v>
      </c>
      <c r="S72" s="124" t="s">
        <v>88</v>
      </c>
      <c r="T72" s="84">
        <v>4800</v>
      </c>
      <c r="U72" s="84" t="s">
        <v>75</v>
      </c>
    </row>
    <row r="73" spans="2:21" ht="18.75" customHeight="1" x14ac:dyDescent="0.45">
      <c r="B73" s="62">
        <f t="shared" si="0"/>
        <v>13</v>
      </c>
      <c r="C73" s="63">
        <v>2</v>
      </c>
      <c r="D73" s="63">
        <v>2</v>
      </c>
      <c r="E73" s="115" t="s">
        <v>88</v>
      </c>
      <c r="F73" s="66">
        <v>109</v>
      </c>
      <c r="G73" s="66" t="s">
        <v>75</v>
      </c>
      <c r="H73" s="13"/>
      <c r="I73" s="72">
        <v>13</v>
      </c>
      <c r="J73" s="73">
        <v>2</v>
      </c>
      <c r="K73" s="73">
        <v>2</v>
      </c>
      <c r="L73" s="120" t="s">
        <v>88</v>
      </c>
      <c r="M73" s="75">
        <v>278</v>
      </c>
      <c r="N73" s="75" t="s">
        <v>75</v>
      </c>
      <c r="O73"/>
      <c r="P73" s="62">
        <v>13</v>
      </c>
      <c r="Q73" s="81">
        <v>2</v>
      </c>
      <c r="R73" s="81">
        <v>2</v>
      </c>
      <c r="S73" s="124" t="s">
        <v>88</v>
      </c>
      <c r="T73" s="84">
        <v>4750</v>
      </c>
      <c r="U73" s="84" t="s">
        <v>75</v>
      </c>
    </row>
    <row r="74" spans="2:21" ht="18.75" customHeight="1" x14ac:dyDescent="0.45">
      <c r="B74" s="62">
        <f t="shared" si="0"/>
        <v>14</v>
      </c>
      <c r="C74" s="63">
        <v>1</v>
      </c>
      <c r="D74" s="63">
        <v>1</v>
      </c>
      <c r="E74" s="115" t="s">
        <v>89</v>
      </c>
      <c r="F74" s="66">
        <v>106</v>
      </c>
      <c r="G74" s="66" t="s">
        <v>75</v>
      </c>
      <c r="H74" s="13"/>
      <c r="I74" s="72">
        <v>14</v>
      </c>
      <c r="J74" s="73">
        <v>1</v>
      </c>
      <c r="K74" s="73">
        <v>1</v>
      </c>
      <c r="L74" s="120" t="s">
        <v>89</v>
      </c>
      <c r="M74" s="75">
        <v>266</v>
      </c>
      <c r="N74" s="75" t="s">
        <v>75</v>
      </c>
      <c r="O74"/>
      <c r="P74" s="62">
        <v>14</v>
      </c>
      <c r="Q74" s="81">
        <v>1</v>
      </c>
      <c r="R74" s="81">
        <v>1</v>
      </c>
      <c r="S74" s="124" t="s">
        <v>89</v>
      </c>
      <c r="T74" s="84">
        <v>4740</v>
      </c>
      <c r="U74" s="84" t="s">
        <v>75</v>
      </c>
    </row>
    <row r="75" spans="2:21" ht="18.75" customHeight="1" x14ac:dyDescent="0.45">
      <c r="B75" s="62">
        <f t="shared" si="0"/>
        <v>14</v>
      </c>
      <c r="C75" s="63">
        <v>1</v>
      </c>
      <c r="D75" s="63">
        <v>2</v>
      </c>
      <c r="E75" s="115" t="s">
        <v>89</v>
      </c>
      <c r="F75" s="66">
        <v>104</v>
      </c>
      <c r="G75" s="66" t="s">
        <v>75</v>
      </c>
      <c r="H75" s="13"/>
      <c r="I75" s="72">
        <v>14</v>
      </c>
      <c r="J75" s="73">
        <v>1</v>
      </c>
      <c r="K75" s="73">
        <v>2</v>
      </c>
      <c r="L75" s="120" t="s">
        <v>89</v>
      </c>
      <c r="M75" s="75">
        <v>274</v>
      </c>
      <c r="N75" s="75" t="s">
        <v>75</v>
      </c>
      <c r="O75"/>
      <c r="P75" s="62">
        <v>14</v>
      </c>
      <c r="Q75" s="81">
        <v>1</v>
      </c>
      <c r="R75" s="81">
        <v>2</v>
      </c>
      <c r="S75" s="124" t="s">
        <v>89</v>
      </c>
      <c r="T75" s="84">
        <v>4790</v>
      </c>
      <c r="U75" s="84" t="s">
        <v>75</v>
      </c>
    </row>
    <row r="76" spans="2:21" ht="18.75" customHeight="1" x14ac:dyDescent="0.45">
      <c r="B76" s="62">
        <f t="shared" si="0"/>
        <v>14</v>
      </c>
      <c r="C76" s="63">
        <v>2</v>
      </c>
      <c r="D76" s="63">
        <v>1</v>
      </c>
      <c r="E76" s="115" t="s">
        <v>89</v>
      </c>
      <c r="F76" s="66">
        <v>106</v>
      </c>
      <c r="G76" s="66" t="s">
        <v>75</v>
      </c>
      <c r="H76" s="13"/>
      <c r="I76" s="72">
        <v>14</v>
      </c>
      <c r="J76" s="73">
        <v>2</v>
      </c>
      <c r="K76" s="73">
        <v>1</v>
      </c>
      <c r="L76" s="120" t="s">
        <v>89</v>
      </c>
      <c r="M76" s="75">
        <v>269</v>
      </c>
      <c r="N76" s="75" t="s">
        <v>75</v>
      </c>
      <c r="O76"/>
      <c r="P76" s="62">
        <v>14</v>
      </c>
      <c r="Q76" s="81">
        <v>2</v>
      </c>
      <c r="R76" s="81">
        <v>1</v>
      </c>
      <c r="S76" s="124" t="s">
        <v>89</v>
      </c>
      <c r="T76" s="84">
        <v>4810</v>
      </c>
      <c r="U76" s="84" t="s">
        <v>75</v>
      </c>
    </row>
    <row r="77" spans="2:21" ht="18.75" customHeight="1" x14ac:dyDescent="0.45">
      <c r="B77" s="62">
        <f t="shared" si="0"/>
        <v>14</v>
      </c>
      <c r="C77" s="63">
        <v>2</v>
      </c>
      <c r="D77" s="63">
        <v>2</v>
      </c>
      <c r="E77" s="64" t="s">
        <v>89</v>
      </c>
      <c r="F77" s="66">
        <v>104</v>
      </c>
      <c r="G77" s="66" t="s">
        <v>75</v>
      </c>
      <c r="H77" s="13"/>
      <c r="I77" s="72">
        <v>14</v>
      </c>
      <c r="J77" s="73">
        <v>2</v>
      </c>
      <c r="K77" s="73">
        <v>2</v>
      </c>
      <c r="L77" s="120" t="s">
        <v>89</v>
      </c>
      <c r="M77" s="75">
        <v>276</v>
      </c>
      <c r="N77" s="75" t="s">
        <v>75</v>
      </c>
      <c r="O77"/>
      <c r="P77" s="62">
        <v>14</v>
      </c>
      <c r="Q77" s="81">
        <v>2</v>
      </c>
      <c r="R77" s="81">
        <v>2</v>
      </c>
      <c r="S77" s="82" t="s">
        <v>89</v>
      </c>
      <c r="T77" s="84">
        <v>4710</v>
      </c>
      <c r="U77" s="84" t="s">
        <v>75</v>
      </c>
    </row>
    <row r="78" spans="2:21" ht="18.75" customHeight="1" x14ac:dyDescent="0.45">
      <c r="B78" s="62">
        <f t="shared" si="0"/>
        <v>15</v>
      </c>
      <c r="C78" s="63">
        <v>1</v>
      </c>
      <c r="D78" s="63">
        <v>1</v>
      </c>
      <c r="E78" s="64" t="s">
        <v>90</v>
      </c>
      <c r="F78" s="66">
        <v>103</v>
      </c>
      <c r="G78" s="66" t="s">
        <v>75</v>
      </c>
      <c r="H78" s="13"/>
      <c r="I78" s="72">
        <v>15</v>
      </c>
      <c r="J78" s="73">
        <v>1</v>
      </c>
      <c r="K78" s="73">
        <v>1</v>
      </c>
      <c r="L78" s="74" t="s">
        <v>90</v>
      </c>
      <c r="M78" s="75">
        <v>270</v>
      </c>
      <c r="N78" s="75" t="s">
        <v>75</v>
      </c>
      <c r="O78"/>
      <c r="P78" s="62">
        <v>15</v>
      </c>
      <c r="Q78" s="81">
        <v>1</v>
      </c>
      <c r="R78" s="81">
        <v>1</v>
      </c>
      <c r="S78" s="82" t="s">
        <v>90</v>
      </c>
      <c r="T78" s="84">
        <v>4640</v>
      </c>
      <c r="U78" s="84" t="s">
        <v>75</v>
      </c>
    </row>
    <row r="79" spans="2:21" ht="18.75" customHeight="1" x14ac:dyDescent="0.45">
      <c r="B79" s="62">
        <f t="shared" si="0"/>
        <v>15</v>
      </c>
      <c r="C79" s="63">
        <v>1</v>
      </c>
      <c r="D79" s="63">
        <v>2</v>
      </c>
      <c r="E79" s="64" t="s">
        <v>90</v>
      </c>
      <c r="F79" s="66">
        <v>103</v>
      </c>
      <c r="G79" s="66" t="s">
        <v>75</v>
      </c>
      <c r="H79" s="13"/>
      <c r="I79" s="72">
        <v>15</v>
      </c>
      <c r="J79" s="73">
        <v>1</v>
      </c>
      <c r="K79" s="73">
        <v>2</v>
      </c>
      <c r="L79" s="74" t="s">
        <v>90</v>
      </c>
      <c r="M79" s="75">
        <v>272</v>
      </c>
      <c r="N79" s="75" t="s">
        <v>75</v>
      </c>
      <c r="O79"/>
      <c r="P79" s="62">
        <v>15</v>
      </c>
      <c r="Q79" s="81">
        <v>1</v>
      </c>
      <c r="R79" s="81">
        <v>2</v>
      </c>
      <c r="S79" s="82" t="s">
        <v>90</v>
      </c>
      <c r="T79" s="84">
        <v>4750</v>
      </c>
      <c r="U79" s="84" t="s">
        <v>75</v>
      </c>
    </row>
    <row r="80" spans="2:21" ht="18.75" customHeight="1" x14ac:dyDescent="0.45">
      <c r="B80" s="62">
        <f t="shared" si="0"/>
        <v>15</v>
      </c>
      <c r="C80" s="63">
        <v>2</v>
      </c>
      <c r="D80" s="63">
        <v>1</v>
      </c>
      <c r="E80" s="64" t="s">
        <v>90</v>
      </c>
      <c r="F80" s="66">
        <v>97.1</v>
      </c>
      <c r="G80" s="66" t="s">
        <v>75</v>
      </c>
      <c r="H80" s="13"/>
      <c r="I80" s="72">
        <v>15</v>
      </c>
      <c r="J80" s="73">
        <v>2</v>
      </c>
      <c r="K80" s="73">
        <v>1</v>
      </c>
      <c r="L80" s="74" t="s">
        <v>90</v>
      </c>
      <c r="M80" s="75">
        <v>267</v>
      </c>
      <c r="N80" s="75" t="s">
        <v>75</v>
      </c>
      <c r="O80"/>
      <c r="P80" s="62">
        <v>15</v>
      </c>
      <c r="Q80" s="81">
        <v>2</v>
      </c>
      <c r="R80" s="81">
        <v>1</v>
      </c>
      <c r="S80" s="82" t="s">
        <v>90</v>
      </c>
      <c r="T80" s="84">
        <v>4730</v>
      </c>
      <c r="U80" s="84" t="s">
        <v>75</v>
      </c>
    </row>
    <row r="81" spans="2:21" ht="18.75" customHeight="1" x14ac:dyDescent="0.45">
      <c r="B81" s="62">
        <f t="shared" si="0"/>
        <v>15</v>
      </c>
      <c r="C81" s="63">
        <v>2</v>
      </c>
      <c r="D81" s="63">
        <v>2</v>
      </c>
      <c r="E81" s="64" t="s">
        <v>90</v>
      </c>
      <c r="F81" s="66">
        <v>97.5</v>
      </c>
      <c r="G81" s="66" t="s">
        <v>75</v>
      </c>
      <c r="H81" s="13"/>
      <c r="I81" s="72">
        <v>15</v>
      </c>
      <c r="J81" s="73">
        <v>2</v>
      </c>
      <c r="K81" s="73">
        <v>2</v>
      </c>
      <c r="L81" s="74" t="s">
        <v>90</v>
      </c>
      <c r="M81" s="75">
        <v>266</v>
      </c>
      <c r="N81" s="75" t="s">
        <v>75</v>
      </c>
      <c r="O81"/>
      <c r="P81" s="62">
        <v>15</v>
      </c>
      <c r="Q81" s="81">
        <v>2</v>
      </c>
      <c r="R81" s="81">
        <v>2</v>
      </c>
      <c r="S81" s="82" t="s">
        <v>90</v>
      </c>
      <c r="T81" s="84">
        <v>4680</v>
      </c>
      <c r="U81" s="84" t="s">
        <v>75</v>
      </c>
    </row>
    <row r="82" spans="2:21" ht="18.75" customHeight="1" x14ac:dyDescent="0.45">
      <c r="B82" s="62">
        <f t="shared" si="0"/>
        <v>16</v>
      </c>
      <c r="C82" s="63">
        <v>1</v>
      </c>
      <c r="D82" s="63">
        <v>1</v>
      </c>
      <c r="E82" s="64" t="s">
        <v>91</v>
      </c>
      <c r="F82" s="66">
        <v>104</v>
      </c>
      <c r="G82" s="66" t="s">
        <v>75</v>
      </c>
      <c r="H82" s="13"/>
      <c r="I82" s="72">
        <v>16</v>
      </c>
      <c r="J82" s="73">
        <v>1</v>
      </c>
      <c r="K82" s="73">
        <v>1</v>
      </c>
      <c r="L82" s="74" t="s">
        <v>91</v>
      </c>
      <c r="M82" s="75">
        <v>278</v>
      </c>
      <c r="N82" s="75" t="s">
        <v>75</v>
      </c>
      <c r="O82"/>
      <c r="P82" s="62">
        <v>16</v>
      </c>
      <c r="Q82" s="81">
        <v>1</v>
      </c>
      <c r="R82" s="81">
        <v>1</v>
      </c>
      <c r="S82" s="82" t="s">
        <v>91</v>
      </c>
      <c r="T82" s="84">
        <v>4860</v>
      </c>
      <c r="U82" s="84" t="s">
        <v>75</v>
      </c>
    </row>
    <row r="83" spans="2:21" ht="18.75" customHeight="1" x14ac:dyDescent="0.45">
      <c r="B83" s="62">
        <f t="shared" si="0"/>
        <v>16</v>
      </c>
      <c r="C83" s="63">
        <v>1</v>
      </c>
      <c r="D83" s="63">
        <v>2</v>
      </c>
      <c r="E83" s="64" t="s">
        <v>91</v>
      </c>
      <c r="F83" s="66">
        <v>104</v>
      </c>
      <c r="G83" s="66" t="s">
        <v>75</v>
      </c>
      <c r="H83" s="13"/>
      <c r="I83" s="72">
        <v>16</v>
      </c>
      <c r="J83" s="73">
        <v>1</v>
      </c>
      <c r="K83" s="73">
        <v>2</v>
      </c>
      <c r="L83" s="74" t="s">
        <v>91</v>
      </c>
      <c r="M83" s="75">
        <v>269</v>
      </c>
      <c r="N83" s="75" t="s">
        <v>75</v>
      </c>
      <c r="O83"/>
      <c r="P83" s="62">
        <v>16</v>
      </c>
      <c r="Q83" s="81">
        <v>1</v>
      </c>
      <c r="R83" s="81">
        <v>2</v>
      </c>
      <c r="S83" s="82" t="s">
        <v>91</v>
      </c>
      <c r="T83" s="84">
        <v>4810</v>
      </c>
      <c r="U83" s="84" t="s">
        <v>75</v>
      </c>
    </row>
    <row r="84" spans="2:21" ht="18.75" customHeight="1" x14ac:dyDescent="0.45">
      <c r="B84" s="62">
        <f t="shared" si="0"/>
        <v>16</v>
      </c>
      <c r="C84" s="63">
        <v>2</v>
      </c>
      <c r="D84" s="63">
        <v>1</v>
      </c>
      <c r="E84" s="64" t="s">
        <v>91</v>
      </c>
      <c r="F84" s="66">
        <v>102</v>
      </c>
      <c r="G84" s="66" t="s">
        <v>75</v>
      </c>
      <c r="H84" s="13"/>
      <c r="I84" s="72">
        <v>16</v>
      </c>
      <c r="J84" s="73">
        <v>2</v>
      </c>
      <c r="K84" s="73">
        <v>1</v>
      </c>
      <c r="L84" s="74" t="s">
        <v>91</v>
      </c>
      <c r="M84" s="75">
        <v>270</v>
      </c>
      <c r="N84" s="75" t="s">
        <v>75</v>
      </c>
      <c r="O84"/>
      <c r="P84" s="62">
        <v>16</v>
      </c>
      <c r="Q84" s="81">
        <v>2</v>
      </c>
      <c r="R84" s="81">
        <v>1</v>
      </c>
      <c r="S84" s="82" t="s">
        <v>91</v>
      </c>
      <c r="T84" s="84">
        <v>4750</v>
      </c>
      <c r="U84" s="84" t="s">
        <v>75</v>
      </c>
    </row>
    <row r="85" spans="2:21" ht="18.75" customHeight="1" x14ac:dyDescent="0.45">
      <c r="B85" s="62">
        <f t="shared" si="0"/>
        <v>16</v>
      </c>
      <c r="C85" s="63">
        <v>2</v>
      </c>
      <c r="D85" s="63">
        <v>2</v>
      </c>
      <c r="E85" s="64" t="s">
        <v>91</v>
      </c>
      <c r="F85" s="66">
        <v>102</v>
      </c>
      <c r="G85" s="66" t="s">
        <v>75</v>
      </c>
      <c r="H85" s="13"/>
      <c r="I85" s="72">
        <v>16</v>
      </c>
      <c r="J85" s="73">
        <v>2</v>
      </c>
      <c r="K85" s="73">
        <v>2</v>
      </c>
      <c r="L85" s="74" t="s">
        <v>91</v>
      </c>
      <c r="M85" s="75">
        <v>269</v>
      </c>
      <c r="N85" s="75" t="s">
        <v>75</v>
      </c>
      <c r="O85"/>
      <c r="P85" s="62">
        <v>16</v>
      </c>
      <c r="Q85" s="81">
        <v>2</v>
      </c>
      <c r="R85" s="81">
        <v>2</v>
      </c>
      <c r="S85" s="82" t="s">
        <v>91</v>
      </c>
      <c r="T85" s="84">
        <v>4730</v>
      </c>
      <c r="U85" s="84" t="s">
        <v>75</v>
      </c>
    </row>
    <row r="86" spans="2:21" ht="18.75" customHeight="1" x14ac:dyDescent="0.45">
      <c r="B86" s="62">
        <f t="shared" si="0"/>
        <v>17</v>
      </c>
      <c r="C86" s="63">
        <v>1</v>
      </c>
      <c r="D86" s="63">
        <v>1</v>
      </c>
      <c r="E86" s="64" t="s">
        <v>92</v>
      </c>
      <c r="F86" s="66">
        <v>109</v>
      </c>
      <c r="G86" s="66" t="s">
        <v>75</v>
      </c>
      <c r="H86" s="13"/>
      <c r="I86" s="72">
        <v>17</v>
      </c>
      <c r="J86" s="73">
        <v>1</v>
      </c>
      <c r="K86" s="73">
        <v>1</v>
      </c>
      <c r="L86" s="74" t="s">
        <v>92</v>
      </c>
      <c r="M86" s="75">
        <v>281</v>
      </c>
      <c r="N86" s="75" t="s">
        <v>75</v>
      </c>
      <c r="O86"/>
      <c r="P86" s="62">
        <v>17</v>
      </c>
      <c r="Q86" s="81">
        <v>1</v>
      </c>
      <c r="R86" s="81">
        <v>1</v>
      </c>
      <c r="S86" s="82" t="s">
        <v>92</v>
      </c>
      <c r="T86" s="84">
        <v>4820</v>
      </c>
      <c r="U86" s="84" t="s">
        <v>75</v>
      </c>
    </row>
    <row r="87" spans="2:21" ht="18.75" customHeight="1" x14ac:dyDescent="0.45">
      <c r="B87" s="62">
        <f t="shared" ref="B87:B121" si="1">INT((ROW()-22)/4)+1</f>
        <v>17</v>
      </c>
      <c r="C87" s="63">
        <v>1</v>
      </c>
      <c r="D87" s="63">
        <v>2</v>
      </c>
      <c r="E87" s="64" t="s">
        <v>92</v>
      </c>
      <c r="F87" s="66">
        <v>111</v>
      </c>
      <c r="G87" s="66" t="s">
        <v>75</v>
      </c>
      <c r="H87" s="13"/>
      <c r="I87" s="72">
        <v>17</v>
      </c>
      <c r="J87" s="73">
        <v>1</v>
      </c>
      <c r="K87" s="73">
        <v>2</v>
      </c>
      <c r="L87" s="74" t="s">
        <v>92</v>
      </c>
      <c r="M87" s="75">
        <v>282</v>
      </c>
      <c r="N87" s="75" t="s">
        <v>75</v>
      </c>
      <c r="O87"/>
      <c r="P87" s="62">
        <v>17</v>
      </c>
      <c r="Q87" s="81">
        <v>1</v>
      </c>
      <c r="R87" s="81">
        <v>2</v>
      </c>
      <c r="S87" s="82" t="s">
        <v>92</v>
      </c>
      <c r="T87" s="84">
        <v>4810</v>
      </c>
      <c r="U87" s="84" t="s">
        <v>75</v>
      </c>
    </row>
    <row r="88" spans="2:21" ht="18.75" customHeight="1" x14ac:dyDescent="0.45">
      <c r="B88" s="62">
        <f t="shared" si="1"/>
        <v>17</v>
      </c>
      <c r="C88" s="63">
        <v>2</v>
      </c>
      <c r="D88" s="63">
        <v>1</v>
      </c>
      <c r="E88" s="64" t="s">
        <v>92</v>
      </c>
      <c r="F88" s="66">
        <v>106</v>
      </c>
      <c r="G88" s="66" t="s">
        <v>75</v>
      </c>
      <c r="H88" s="13"/>
      <c r="I88" s="72">
        <v>17</v>
      </c>
      <c r="J88" s="73">
        <v>2</v>
      </c>
      <c r="K88" s="73">
        <v>1</v>
      </c>
      <c r="L88" s="74" t="s">
        <v>92</v>
      </c>
      <c r="M88" s="75">
        <v>281</v>
      </c>
      <c r="N88" s="75" t="s">
        <v>75</v>
      </c>
      <c r="O88"/>
      <c r="P88" s="62">
        <v>17</v>
      </c>
      <c r="Q88" s="81">
        <v>2</v>
      </c>
      <c r="R88" s="81">
        <v>1</v>
      </c>
      <c r="S88" s="82" t="s">
        <v>92</v>
      </c>
      <c r="T88" s="84">
        <v>4860</v>
      </c>
      <c r="U88" s="84" t="s">
        <v>75</v>
      </c>
    </row>
    <row r="89" spans="2:21" ht="18.75" customHeight="1" x14ac:dyDescent="0.45">
      <c r="B89" s="62">
        <f t="shared" si="1"/>
        <v>17</v>
      </c>
      <c r="C89" s="63">
        <v>2</v>
      </c>
      <c r="D89" s="63">
        <v>2</v>
      </c>
      <c r="E89" s="64" t="s">
        <v>93</v>
      </c>
      <c r="F89" s="66">
        <v>105</v>
      </c>
      <c r="G89" s="66" t="s">
        <v>75</v>
      </c>
      <c r="H89" s="13"/>
      <c r="I89" s="72">
        <v>17</v>
      </c>
      <c r="J89" s="73">
        <v>2</v>
      </c>
      <c r="K89" s="73">
        <v>2</v>
      </c>
      <c r="L89" s="74" t="s">
        <v>92</v>
      </c>
      <c r="M89" s="75">
        <v>282</v>
      </c>
      <c r="N89" s="75" t="s">
        <v>75</v>
      </c>
      <c r="O89"/>
      <c r="P89" s="62">
        <v>17</v>
      </c>
      <c r="Q89" s="81">
        <v>2</v>
      </c>
      <c r="R89" s="81">
        <v>2</v>
      </c>
      <c r="S89" s="82" t="s">
        <v>92</v>
      </c>
      <c r="T89" s="84">
        <v>4860</v>
      </c>
      <c r="U89" s="84" t="s">
        <v>75</v>
      </c>
    </row>
    <row r="90" spans="2:21" ht="18.75" customHeight="1" x14ac:dyDescent="0.45">
      <c r="B90" s="62">
        <f t="shared" si="1"/>
        <v>18</v>
      </c>
      <c r="C90" s="63">
        <v>1</v>
      </c>
      <c r="D90" s="63">
        <v>1</v>
      </c>
      <c r="E90" s="64" t="s">
        <v>94</v>
      </c>
      <c r="F90" s="66">
        <v>106</v>
      </c>
      <c r="G90" s="66" t="s">
        <v>75</v>
      </c>
      <c r="H90" s="13"/>
      <c r="I90" s="72">
        <v>18</v>
      </c>
      <c r="J90" s="73">
        <v>1</v>
      </c>
      <c r="K90" s="73">
        <v>1</v>
      </c>
      <c r="L90" s="74" t="s">
        <v>94</v>
      </c>
      <c r="M90" s="75">
        <v>281</v>
      </c>
      <c r="N90" s="75" t="s">
        <v>75</v>
      </c>
      <c r="O90"/>
      <c r="P90" s="62">
        <v>18</v>
      </c>
      <c r="Q90" s="81">
        <v>1</v>
      </c>
      <c r="R90" s="81">
        <v>1</v>
      </c>
      <c r="S90" s="82" t="s">
        <v>94</v>
      </c>
      <c r="T90" s="84">
        <v>4860</v>
      </c>
      <c r="U90" s="84" t="s">
        <v>75</v>
      </c>
    </row>
    <row r="91" spans="2:21" ht="18.75" customHeight="1" x14ac:dyDescent="0.45">
      <c r="B91" s="62">
        <f t="shared" si="1"/>
        <v>18</v>
      </c>
      <c r="C91" s="63">
        <v>1</v>
      </c>
      <c r="D91" s="63">
        <v>2</v>
      </c>
      <c r="E91" s="64" t="s">
        <v>94</v>
      </c>
      <c r="F91" s="66">
        <v>105</v>
      </c>
      <c r="G91" s="66" t="s">
        <v>75</v>
      </c>
      <c r="H91" s="13"/>
      <c r="I91" s="72">
        <v>18</v>
      </c>
      <c r="J91" s="73">
        <v>1</v>
      </c>
      <c r="K91" s="73">
        <v>2</v>
      </c>
      <c r="L91" s="74" t="s">
        <v>94</v>
      </c>
      <c r="M91" s="75">
        <v>282</v>
      </c>
      <c r="N91" s="75" t="s">
        <v>75</v>
      </c>
      <c r="O91"/>
      <c r="P91" s="62">
        <v>18</v>
      </c>
      <c r="Q91" s="81">
        <v>1</v>
      </c>
      <c r="R91" s="81">
        <v>2</v>
      </c>
      <c r="S91" s="82" t="s">
        <v>94</v>
      </c>
      <c r="T91" s="84">
        <v>4860</v>
      </c>
      <c r="U91" s="84"/>
    </row>
    <row r="92" spans="2:21" ht="18.75" customHeight="1" x14ac:dyDescent="0.45">
      <c r="B92" s="62">
        <f t="shared" si="1"/>
        <v>18</v>
      </c>
      <c r="C92" s="63">
        <v>2</v>
      </c>
      <c r="D92" s="63">
        <v>1</v>
      </c>
      <c r="E92" s="64" t="s">
        <v>94</v>
      </c>
      <c r="F92" s="66">
        <v>105</v>
      </c>
      <c r="G92" s="66" t="s">
        <v>75</v>
      </c>
      <c r="H92" s="13"/>
      <c r="I92" s="72">
        <v>18</v>
      </c>
      <c r="J92" s="73">
        <v>2</v>
      </c>
      <c r="K92" s="73">
        <v>1</v>
      </c>
      <c r="L92" s="74" t="s">
        <v>94</v>
      </c>
      <c r="M92" s="75">
        <v>272</v>
      </c>
      <c r="N92" s="75" t="s">
        <v>75</v>
      </c>
      <c r="O92"/>
      <c r="P92" s="62">
        <v>18</v>
      </c>
      <c r="Q92" s="81">
        <v>2</v>
      </c>
      <c r="R92" s="81">
        <v>1</v>
      </c>
      <c r="S92" s="82" t="s">
        <v>94</v>
      </c>
      <c r="T92" s="84">
        <v>4790</v>
      </c>
      <c r="U92" s="84" t="s">
        <v>75</v>
      </c>
    </row>
    <row r="93" spans="2:21" ht="18.75" customHeight="1" x14ac:dyDescent="0.45">
      <c r="B93" s="62">
        <f t="shared" si="1"/>
        <v>18</v>
      </c>
      <c r="C93" s="63">
        <v>2</v>
      </c>
      <c r="D93" s="63">
        <v>2</v>
      </c>
      <c r="E93" s="64" t="s">
        <v>94</v>
      </c>
      <c r="F93" s="66">
        <v>102</v>
      </c>
      <c r="G93" s="66" t="s">
        <v>75</v>
      </c>
      <c r="H93" s="13"/>
      <c r="I93" s="72">
        <v>18</v>
      </c>
      <c r="J93" s="73">
        <v>2</v>
      </c>
      <c r="K93" s="73">
        <v>2</v>
      </c>
      <c r="L93" s="74" t="s">
        <v>94</v>
      </c>
      <c r="M93" s="75">
        <v>278</v>
      </c>
      <c r="N93" s="75" t="s">
        <v>75</v>
      </c>
      <c r="O93"/>
      <c r="P93" s="62">
        <v>18</v>
      </c>
      <c r="Q93" s="81">
        <v>2</v>
      </c>
      <c r="R93" s="81">
        <v>2</v>
      </c>
      <c r="S93" s="82" t="s">
        <v>94</v>
      </c>
      <c r="T93" s="84">
        <v>4730</v>
      </c>
      <c r="U93" s="84" t="s">
        <v>75</v>
      </c>
    </row>
    <row r="94" spans="2:21" ht="18.75" customHeight="1" x14ac:dyDescent="0.45">
      <c r="B94" s="62">
        <f t="shared" si="1"/>
        <v>19</v>
      </c>
      <c r="C94" s="63">
        <v>1</v>
      </c>
      <c r="D94" s="63">
        <v>1</v>
      </c>
      <c r="E94" s="64" t="s">
        <v>95</v>
      </c>
      <c r="F94" s="66">
        <v>103</v>
      </c>
      <c r="G94" s="66" t="s">
        <v>75</v>
      </c>
      <c r="H94" s="13"/>
      <c r="I94" s="72">
        <v>19</v>
      </c>
      <c r="J94" s="73">
        <v>1</v>
      </c>
      <c r="K94" s="73">
        <v>1</v>
      </c>
      <c r="L94" s="74" t="s">
        <v>95</v>
      </c>
      <c r="M94" s="75">
        <v>274</v>
      </c>
      <c r="N94" s="75" t="s">
        <v>75</v>
      </c>
      <c r="O94"/>
      <c r="P94" s="62">
        <v>19</v>
      </c>
      <c r="Q94" s="81">
        <v>1</v>
      </c>
      <c r="R94" s="81">
        <v>1</v>
      </c>
      <c r="S94" s="82" t="s">
        <v>95</v>
      </c>
      <c r="T94" s="84">
        <v>4780</v>
      </c>
      <c r="U94" s="84" t="s">
        <v>75</v>
      </c>
    </row>
    <row r="95" spans="2:21" ht="18.75" customHeight="1" x14ac:dyDescent="0.45">
      <c r="B95" s="62">
        <f t="shared" si="1"/>
        <v>19</v>
      </c>
      <c r="C95" s="63">
        <v>1</v>
      </c>
      <c r="D95" s="63">
        <v>2</v>
      </c>
      <c r="E95" s="64" t="s">
        <v>95</v>
      </c>
      <c r="F95" s="66">
        <v>107</v>
      </c>
      <c r="G95" s="66" t="s">
        <v>75</v>
      </c>
      <c r="H95" s="13"/>
      <c r="I95" s="72">
        <v>19</v>
      </c>
      <c r="J95" s="73">
        <v>1</v>
      </c>
      <c r="K95" s="73">
        <v>2</v>
      </c>
      <c r="L95" s="74" t="s">
        <v>95</v>
      </c>
      <c r="M95" s="75">
        <v>274</v>
      </c>
      <c r="N95" s="75" t="s">
        <v>75</v>
      </c>
      <c r="O95"/>
      <c r="P95" s="62">
        <v>19</v>
      </c>
      <c r="Q95" s="81">
        <v>1</v>
      </c>
      <c r="R95" s="81">
        <v>2</v>
      </c>
      <c r="S95" s="82" t="s">
        <v>95</v>
      </c>
      <c r="T95" s="84">
        <v>4770</v>
      </c>
      <c r="U95" s="84" t="s">
        <v>75</v>
      </c>
    </row>
    <row r="96" spans="2:21" ht="18.75" customHeight="1" x14ac:dyDescent="0.45">
      <c r="B96" s="62">
        <f t="shared" si="1"/>
        <v>19</v>
      </c>
      <c r="C96" s="63">
        <v>2</v>
      </c>
      <c r="D96" s="63">
        <v>1</v>
      </c>
      <c r="E96" s="64" t="s">
        <v>95</v>
      </c>
      <c r="F96" s="66">
        <v>102</v>
      </c>
      <c r="G96" s="66" t="s">
        <v>75</v>
      </c>
      <c r="H96" s="13"/>
      <c r="I96" s="72">
        <v>19</v>
      </c>
      <c r="J96" s="73">
        <v>2</v>
      </c>
      <c r="K96" s="73">
        <v>1</v>
      </c>
      <c r="L96" s="74" t="s">
        <v>95</v>
      </c>
      <c r="M96" s="75">
        <v>280</v>
      </c>
      <c r="N96" s="75" t="s">
        <v>75</v>
      </c>
      <c r="O96"/>
      <c r="P96" s="62">
        <v>19</v>
      </c>
      <c r="Q96" s="81">
        <v>2</v>
      </c>
      <c r="R96" s="81">
        <v>1</v>
      </c>
      <c r="S96" s="82" t="s">
        <v>95</v>
      </c>
      <c r="T96" s="84">
        <v>4890</v>
      </c>
      <c r="U96" s="84" t="s">
        <v>75</v>
      </c>
    </row>
    <row r="97" spans="2:21" ht="18.75" customHeight="1" x14ac:dyDescent="0.45">
      <c r="B97" s="62">
        <f t="shared" si="1"/>
        <v>19</v>
      </c>
      <c r="C97" s="63">
        <v>2</v>
      </c>
      <c r="D97" s="63">
        <v>2</v>
      </c>
      <c r="E97" s="64" t="s">
        <v>95</v>
      </c>
      <c r="F97" s="66">
        <v>106</v>
      </c>
      <c r="G97" s="66" t="s">
        <v>75</v>
      </c>
      <c r="H97" s="13"/>
      <c r="I97" s="72">
        <v>19</v>
      </c>
      <c r="J97" s="73">
        <v>2</v>
      </c>
      <c r="K97" s="73">
        <v>2</v>
      </c>
      <c r="L97" s="74" t="s">
        <v>95</v>
      </c>
      <c r="M97" s="75">
        <v>274</v>
      </c>
      <c r="N97" s="75" t="s">
        <v>75</v>
      </c>
      <c r="O97"/>
      <c r="P97" s="62">
        <v>19</v>
      </c>
      <c r="Q97" s="81">
        <v>2</v>
      </c>
      <c r="R97" s="81">
        <v>2</v>
      </c>
      <c r="S97" s="82" t="s">
        <v>95</v>
      </c>
      <c r="T97" s="84">
        <v>4800</v>
      </c>
      <c r="U97" s="84" t="s">
        <v>75</v>
      </c>
    </row>
    <row r="98" spans="2:21" ht="18.75" customHeight="1" x14ac:dyDescent="0.45">
      <c r="B98" s="62">
        <f t="shared" si="1"/>
        <v>20</v>
      </c>
      <c r="C98" s="63">
        <v>1</v>
      </c>
      <c r="D98" s="63">
        <v>1</v>
      </c>
      <c r="E98" s="64" t="s">
        <v>96</v>
      </c>
      <c r="F98" s="66">
        <v>101</v>
      </c>
      <c r="G98" s="66" t="s">
        <v>75</v>
      </c>
      <c r="H98" s="13"/>
      <c r="I98" s="72">
        <v>20</v>
      </c>
      <c r="J98" s="73">
        <v>1</v>
      </c>
      <c r="K98" s="73">
        <v>1</v>
      </c>
      <c r="L98" s="74" t="s">
        <v>96</v>
      </c>
      <c r="M98" s="75">
        <v>270</v>
      </c>
      <c r="N98" s="75" t="s">
        <v>75</v>
      </c>
      <c r="O98"/>
      <c r="P98" s="62">
        <v>20</v>
      </c>
      <c r="Q98" s="81">
        <v>1</v>
      </c>
      <c r="R98" s="81">
        <v>1</v>
      </c>
      <c r="S98" s="82" t="s">
        <v>96</v>
      </c>
      <c r="T98" s="84">
        <v>4940</v>
      </c>
      <c r="U98" s="84" t="s">
        <v>75</v>
      </c>
    </row>
    <row r="99" spans="2:21" ht="18.75" customHeight="1" x14ac:dyDescent="0.45">
      <c r="B99" s="62">
        <f t="shared" si="1"/>
        <v>20</v>
      </c>
      <c r="C99" s="63">
        <v>1</v>
      </c>
      <c r="D99" s="63">
        <v>2</v>
      </c>
      <c r="E99" s="64" t="s">
        <v>96</v>
      </c>
      <c r="F99" s="66">
        <v>102</v>
      </c>
      <c r="G99" s="66" t="s">
        <v>75</v>
      </c>
      <c r="H99" s="13"/>
      <c r="I99" s="72">
        <v>20</v>
      </c>
      <c r="J99" s="73">
        <v>1</v>
      </c>
      <c r="K99" s="73">
        <v>2</v>
      </c>
      <c r="L99" s="74" t="s">
        <v>96</v>
      </c>
      <c r="M99" s="75">
        <v>273</v>
      </c>
      <c r="N99" s="75" t="s">
        <v>75</v>
      </c>
      <c r="O99"/>
      <c r="P99" s="62">
        <v>20</v>
      </c>
      <c r="Q99" s="81">
        <v>1</v>
      </c>
      <c r="R99" s="81">
        <v>2</v>
      </c>
      <c r="S99" s="82" t="s">
        <v>96</v>
      </c>
      <c r="T99" s="84">
        <v>4810</v>
      </c>
      <c r="U99" s="84" t="s">
        <v>75</v>
      </c>
    </row>
    <row r="100" spans="2:21" ht="18.75" customHeight="1" x14ac:dyDescent="0.45">
      <c r="B100" s="62">
        <f t="shared" si="1"/>
        <v>20</v>
      </c>
      <c r="C100" s="63">
        <v>2</v>
      </c>
      <c r="D100" s="63">
        <v>1</v>
      </c>
      <c r="E100" s="64" t="s">
        <v>96</v>
      </c>
      <c r="F100" s="66">
        <v>106</v>
      </c>
      <c r="G100" s="66" t="s">
        <v>75</v>
      </c>
      <c r="H100" s="13"/>
      <c r="I100" s="72">
        <v>20</v>
      </c>
      <c r="J100" s="73">
        <v>2</v>
      </c>
      <c r="K100" s="73">
        <v>1</v>
      </c>
      <c r="L100" s="74" t="s">
        <v>96</v>
      </c>
      <c r="M100" s="75">
        <v>283</v>
      </c>
      <c r="N100" s="75" t="s">
        <v>75</v>
      </c>
      <c r="O100"/>
      <c r="P100" s="62">
        <v>20</v>
      </c>
      <c r="Q100" s="81">
        <v>2</v>
      </c>
      <c r="R100" s="81">
        <v>1</v>
      </c>
      <c r="S100" s="82" t="s">
        <v>96</v>
      </c>
      <c r="T100" s="84">
        <v>4870</v>
      </c>
      <c r="U100" s="84" t="s">
        <v>75</v>
      </c>
    </row>
    <row r="101" spans="2:21" ht="18.75" customHeight="1" x14ac:dyDescent="0.45">
      <c r="B101" s="62">
        <f t="shared" si="1"/>
        <v>20</v>
      </c>
      <c r="C101" s="63">
        <v>2</v>
      </c>
      <c r="D101" s="63">
        <v>2</v>
      </c>
      <c r="E101" s="64" t="s">
        <v>96</v>
      </c>
      <c r="F101" s="66">
        <v>108</v>
      </c>
      <c r="G101" s="66" t="s">
        <v>75</v>
      </c>
      <c r="H101" s="13"/>
      <c r="I101" s="72">
        <v>20</v>
      </c>
      <c r="J101" s="73">
        <v>2</v>
      </c>
      <c r="K101" s="73">
        <v>2</v>
      </c>
      <c r="L101" s="74" t="s">
        <v>96</v>
      </c>
      <c r="M101" s="75">
        <v>281</v>
      </c>
      <c r="N101" s="75" t="s">
        <v>75</v>
      </c>
      <c r="O101"/>
      <c r="P101" s="62">
        <v>20</v>
      </c>
      <c r="Q101" s="81">
        <v>2</v>
      </c>
      <c r="R101" s="81">
        <v>2</v>
      </c>
      <c r="S101" s="82" t="s">
        <v>96</v>
      </c>
      <c r="T101" s="84">
        <v>4830</v>
      </c>
      <c r="U101" s="84" t="s">
        <v>75</v>
      </c>
    </row>
    <row r="102" spans="2:21" ht="18.75" customHeight="1" x14ac:dyDescent="0.45">
      <c r="B102" s="62">
        <f t="shared" si="1"/>
        <v>21</v>
      </c>
      <c r="C102" s="63">
        <v>1</v>
      </c>
      <c r="D102" s="63">
        <v>1</v>
      </c>
      <c r="E102" s="64"/>
      <c r="F102" s="66"/>
      <c r="G102" s="66"/>
      <c r="H102" s="13"/>
      <c r="I102" s="72">
        <v>21</v>
      </c>
      <c r="J102" s="73">
        <v>1</v>
      </c>
      <c r="K102" s="73">
        <v>1</v>
      </c>
      <c r="L102" s="74"/>
      <c r="M102" s="75"/>
      <c r="N102" s="75"/>
      <c r="O102"/>
      <c r="P102" s="62">
        <v>21</v>
      </c>
      <c r="Q102" s="81">
        <v>1</v>
      </c>
      <c r="R102" s="81">
        <v>1</v>
      </c>
      <c r="S102" s="82"/>
      <c r="T102" s="84"/>
      <c r="U102" s="84"/>
    </row>
    <row r="103" spans="2:21" ht="18.75" customHeight="1" x14ac:dyDescent="0.45">
      <c r="B103" s="62">
        <f t="shared" si="1"/>
        <v>21</v>
      </c>
      <c r="C103" s="63">
        <v>1</v>
      </c>
      <c r="D103" s="63">
        <v>2</v>
      </c>
      <c r="E103" s="64"/>
      <c r="F103" s="65"/>
      <c r="G103" s="65"/>
      <c r="I103" s="72">
        <v>21</v>
      </c>
      <c r="J103" s="73">
        <v>1</v>
      </c>
      <c r="K103" s="73">
        <v>2</v>
      </c>
      <c r="L103" s="74"/>
      <c r="M103" s="75"/>
      <c r="N103" s="75"/>
      <c r="O103"/>
      <c r="P103" s="62">
        <v>21</v>
      </c>
      <c r="Q103" s="81">
        <v>1</v>
      </c>
      <c r="R103" s="81">
        <v>2</v>
      </c>
      <c r="S103" s="82"/>
      <c r="T103" s="83"/>
      <c r="U103" s="83"/>
    </row>
    <row r="104" spans="2:21" ht="18.75" customHeight="1" x14ac:dyDescent="0.45">
      <c r="B104" s="62">
        <f t="shared" si="1"/>
        <v>21</v>
      </c>
      <c r="C104" s="63">
        <v>2</v>
      </c>
      <c r="D104" s="63">
        <v>1</v>
      </c>
      <c r="E104" s="64"/>
      <c r="F104" s="65"/>
      <c r="G104" s="65"/>
      <c r="I104" s="72">
        <v>21</v>
      </c>
      <c r="J104" s="73">
        <v>2</v>
      </c>
      <c r="K104" s="73">
        <v>1</v>
      </c>
      <c r="L104" s="74"/>
      <c r="M104" s="77"/>
      <c r="N104" s="77"/>
      <c r="O104"/>
      <c r="P104" s="62">
        <v>21</v>
      </c>
      <c r="Q104" s="81">
        <v>2</v>
      </c>
      <c r="R104" s="81">
        <v>1</v>
      </c>
      <c r="S104" s="82"/>
      <c r="T104" s="83"/>
      <c r="U104" s="83"/>
    </row>
    <row r="105" spans="2:21" ht="18.75" customHeight="1" x14ac:dyDescent="0.45">
      <c r="B105" s="62">
        <f t="shared" si="1"/>
        <v>21</v>
      </c>
      <c r="C105" s="63">
        <v>2</v>
      </c>
      <c r="D105" s="63">
        <v>2</v>
      </c>
      <c r="E105" s="64"/>
      <c r="F105" s="65"/>
      <c r="G105" s="65"/>
      <c r="I105" s="72">
        <v>21</v>
      </c>
      <c r="J105" s="73">
        <v>2</v>
      </c>
      <c r="K105" s="73">
        <v>2</v>
      </c>
      <c r="L105" s="74"/>
      <c r="M105" s="77"/>
      <c r="N105" s="77"/>
      <c r="O105"/>
      <c r="P105" s="62">
        <v>21</v>
      </c>
      <c r="Q105" s="81">
        <v>2</v>
      </c>
      <c r="R105" s="81">
        <v>2</v>
      </c>
      <c r="S105" s="82"/>
      <c r="T105" s="83"/>
      <c r="U105" s="83"/>
    </row>
    <row r="106" spans="2:21" ht="18.75" customHeight="1" x14ac:dyDescent="0.45">
      <c r="B106" s="62">
        <f t="shared" si="1"/>
        <v>22</v>
      </c>
      <c r="C106" s="63">
        <v>1</v>
      </c>
      <c r="D106" s="63">
        <v>1</v>
      </c>
      <c r="E106" s="64"/>
      <c r="F106" s="65"/>
      <c r="G106" s="65"/>
      <c r="I106" s="72">
        <v>22</v>
      </c>
      <c r="J106" s="73">
        <v>1</v>
      </c>
      <c r="K106" s="73">
        <v>1</v>
      </c>
      <c r="L106" s="74"/>
      <c r="M106" s="77"/>
      <c r="N106" s="77"/>
      <c r="O106"/>
      <c r="P106" s="62">
        <v>22</v>
      </c>
      <c r="Q106" s="81">
        <v>1</v>
      </c>
      <c r="R106" s="81">
        <v>1</v>
      </c>
      <c r="S106" s="82"/>
      <c r="T106" s="83"/>
      <c r="U106" s="83"/>
    </row>
    <row r="107" spans="2:21" ht="18.75" customHeight="1" x14ac:dyDescent="0.45">
      <c r="B107" s="62">
        <f t="shared" si="1"/>
        <v>22</v>
      </c>
      <c r="C107" s="63">
        <v>1</v>
      </c>
      <c r="D107" s="63">
        <v>2</v>
      </c>
      <c r="E107" s="64"/>
      <c r="F107" s="65"/>
      <c r="G107" s="65"/>
      <c r="I107" s="72">
        <v>22</v>
      </c>
      <c r="J107" s="73">
        <v>1</v>
      </c>
      <c r="K107" s="73">
        <v>2</v>
      </c>
      <c r="L107" s="74"/>
      <c r="M107" s="77"/>
      <c r="N107" s="77"/>
      <c r="O107"/>
      <c r="P107" s="62">
        <v>22</v>
      </c>
      <c r="Q107" s="81">
        <v>1</v>
      </c>
      <c r="R107" s="81">
        <v>2</v>
      </c>
      <c r="S107" s="82"/>
      <c r="T107" s="83"/>
      <c r="U107" s="83"/>
    </row>
    <row r="108" spans="2:21" ht="18.75" customHeight="1" x14ac:dyDescent="0.45">
      <c r="B108" s="62">
        <f t="shared" si="1"/>
        <v>22</v>
      </c>
      <c r="C108" s="63">
        <v>2</v>
      </c>
      <c r="D108" s="63">
        <v>1</v>
      </c>
      <c r="E108" s="64"/>
      <c r="F108" s="65"/>
      <c r="G108" s="65"/>
      <c r="I108" s="72">
        <v>22</v>
      </c>
      <c r="J108" s="73">
        <v>2</v>
      </c>
      <c r="K108" s="73">
        <v>1</v>
      </c>
      <c r="L108" s="74"/>
      <c r="M108" s="77"/>
      <c r="N108" s="77"/>
      <c r="O108"/>
      <c r="P108" s="62">
        <v>22</v>
      </c>
      <c r="Q108" s="81">
        <v>2</v>
      </c>
      <c r="R108" s="81">
        <v>1</v>
      </c>
      <c r="S108" s="82"/>
      <c r="T108" s="83"/>
      <c r="U108" s="83"/>
    </row>
    <row r="109" spans="2:21" ht="18.75" customHeight="1" x14ac:dyDescent="0.45">
      <c r="B109" s="62">
        <f t="shared" si="1"/>
        <v>22</v>
      </c>
      <c r="C109" s="63">
        <v>2</v>
      </c>
      <c r="D109" s="63">
        <v>2</v>
      </c>
      <c r="E109" s="64"/>
      <c r="F109" s="65"/>
      <c r="G109" s="65"/>
      <c r="I109" s="72">
        <v>22</v>
      </c>
      <c r="J109" s="73">
        <v>2</v>
      </c>
      <c r="K109" s="73">
        <v>2</v>
      </c>
      <c r="L109" s="74"/>
      <c r="M109" s="77"/>
      <c r="N109" s="77"/>
      <c r="O109"/>
      <c r="P109" s="62">
        <v>22</v>
      </c>
      <c r="Q109" s="81">
        <v>2</v>
      </c>
      <c r="R109" s="81">
        <v>2</v>
      </c>
      <c r="S109" s="82"/>
      <c r="T109" s="83"/>
      <c r="U109" s="83"/>
    </row>
    <row r="110" spans="2:21" ht="18.75" customHeight="1" x14ac:dyDescent="0.45">
      <c r="B110" s="62">
        <f t="shared" si="1"/>
        <v>23</v>
      </c>
      <c r="C110" s="63">
        <v>1</v>
      </c>
      <c r="D110" s="63">
        <v>1</v>
      </c>
      <c r="E110" s="64"/>
      <c r="F110" s="65"/>
      <c r="G110" s="65"/>
      <c r="I110" s="72">
        <v>23</v>
      </c>
      <c r="J110" s="73">
        <v>1</v>
      </c>
      <c r="K110" s="73">
        <v>1</v>
      </c>
      <c r="L110" s="74"/>
      <c r="M110" s="77"/>
      <c r="N110" s="77"/>
      <c r="O110"/>
      <c r="P110" s="62">
        <v>23</v>
      </c>
      <c r="Q110" s="81">
        <v>1</v>
      </c>
      <c r="R110" s="81">
        <v>1</v>
      </c>
      <c r="S110" s="82"/>
      <c r="T110" s="83"/>
      <c r="U110" s="83"/>
    </row>
    <row r="111" spans="2:21" ht="18.75" customHeight="1" x14ac:dyDescent="0.45">
      <c r="B111" s="62">
        <f t="shared" si="1"/>
        <v>23</v>
      </c>
      <c r="C111" s="63">
        <v>1</v>
      </c>
      <c r="D111" s="63">
        <v>2</v>
      </c>
      <c r="E111" s="64"/>
      <c r="F111" s="65"/>
      <c r="G111" s="65"/>
      <c r="I111" s="72">
        <v>23</v>
      </c>
      <c r="J111" s="73">
        <v>1</v>
      </c>
      <c r="K111" s="73">
        <v>2</v>
      </c>
      <c r="L111" s="74"/>
      <c r="M111" s="77"/>
      <c r="N111" s="77"/>
      <c r="O111"/>
      <c r="P111" s="62">
        <v>23</v>
      </c>
      <c r="Q111" s="81">
        <v>1</v>
      </c>
      <c r="R111" s="81">
        <v>2</v>
      </c>
      <c r="S111" s="82"/>
      <c r="T111" s="83"/>
      <c r="U111" s="83"/>
    </row>
    <row r="112" spans="2:21" ht="18.75" customHeight="1" x14ac:dyDescent="0.45">
      <c r="B112" s="62">
        <f t="shared" si="1"/>
        <v>23</v>
      </c>
      <c r="C112" s="63">
        <v>2</v>
      </c>
      <c r="D112" s="63">
        <v>1</v>
      </c>
      <c r="E112" s="64"/>
      <c r="F112" s="65"/>
      <c r="G112" s="65"/>
      <c r="I112" s="72">
        <v>23</v>
      </c>
      <c r="J112" s="73">
        <v>2</v>
      </c>
      <c r="K112" s="73">
        <v>1</v>
      </c>
      <c r="L112" s="74"/>
      <c r="M112" s="77"/>
      <c r="N112" s="77"/>
      <c r="O112"/>
      <c r="P112" s="62">
        <v>23</v>
      </c>
      <c r="Q112" s="81">
        <v>2</v>
      </c>
      <c r="R112" s="81">
        <v>1</v>
      </c>
      <c r="S112" s="82"/>
      <c r="T112" s="83"/>
      <c r="U112" s="83"/>
    </row>
    <row r="113" spans="2:21" ht="18.75" customHeight="1" x14ac:dyDescent="0.45">
      <c r="B113" s="62">
        <f t="shared" si="1"/>
        <v>23</v>
      </c>
      <c r="C113" s="63">
        <v>2</v>
      </c>
      <c r="D113" s="63">
        <v>2</v>
      </c>
      <c r="E113" s="64"/>
      <c r="F113" s="65"/>
      <c r="G113" s="65"/>
      <c r="I113" s="72">
        <v>23</v>
      </c>
      <c r="J113" s="73">
        <v>2</v>
      </c>
      <c r="K113" s="73">
        <v>2</v>
      </c>
      <c r="L113" s="74"/>
      <c r="M113" s="77"/>
      <c r="N113" s="77"/>
      <c r="O113"/>
      <c r="P113" s="62">
        <v>23</v>
      </c>
      <c r="Q113" s="81">
        <v>2</v>
      </c>
      <c r="R113" s="81">
        <v>2</v>
      </c>
      <c r="S113" s="82"/>
      <c r="T113" s="83"/>
      <c r="U113" s="83"/>
    </row>
    <row r="114" spans="2:21" ht="18.75" customHeight="1" x14ac:dyDescent="0.45">
      <c r="B114" s="62">
        <f t="shared" si="1"/>
        <v>24</v>
      </c>
      <c r="C114" s="63">
        <v>1</v>
      </c>
      <c r="D114" s="63">
        <v>1</v>
      </c>
      <c r="E114" s="64"/>
      <c r="F114" s="65"/>
      <c r="G114" s="65"/>
      <c r="I114" s="72">
        <v>24</v>
      </c>
      <c r="J114" s="73">
        <v>1</v>
      </c>
      <c r="K114" s="73">
        <v>1</v>
      </c>
      <c r="L114" s="74"/>
      <c r="M114" s="77"/>
      <c r="N114" s="77"/>
      <c r="O114"/>
      <c r="P114" s="62">
        <v>24</v>
      </c>
      <c r="Q114" s="81">
        <v>1</v>
      </c>
      <c r="R114" s="81">
        <v>1</v>
      </c>
      <c r="S114" s="82"/>
      <c r="T114" s="83"/>
      <c r="U114" s="83"/>
    </row>
    <row r="115" spans="2:21" ht="18.75" customHeight="1" x14ac:dyDescent="0.45">
      <c r="B115" s="62">
        <f t="shared" si="1"/>
        <v>24</v>
      </c>
      <c r="C115" s="63">
        <v>1</v>
      </c>
      <c r="D115" s="63">
        <v>2</v>
      </c>
      <c r="E115" s="64"/>
      <c r="F115" s="65"/>
      <c r="G115" s="65"/>
      <c r="I115" s="72">
        <v>24</v>
      </c>
      <c r="J115" s="73">
        <v>1</v>
      </c>
      <c r="K115" s="73">
        <v>2</v>
      </c>
      <c r="L115" s="74"/>
      <c r="M115" s="77"/>
      <c r="N115" s="77"/>
      <c r="O115"/>
      <c r="P115" s="62">
        <v>24</v>
      </c>
      <c r="Q115" s="81">
        <v>1</v>
      </c>
      <c r="R115" s="81">
        <v>2</v>
      </c>
      <c r="S115" s="82"/>
      <c r="T115" s="83"/>
      <c r="U115" s="83"/>
    </row>
    <row r="116" spans="2:21" ht="18.75" customHeight="1" x14ac:dyDescent="0.45">
      <c r="B116" s="62">
        <f t="shared" si="1"/>
        <v>24</v>
      </c>
      <c r="C116" s="63">
        <v>2</v>
      </c>
      <c r="D116" s="63">
        <v>1</v>
      </c>
      <c r="E116" s="64"/>
      <c r="F116" s="65"/>
      <c r="G116" s="65"/>
      <c r="I116" s="72">
        <v>24</v>
      </c>
      <c r="J116" s="73">
        <v>2</v>
      </c>
      <c r="K116" s="73">
        <v>1</v>
      </c>
      <c r="L116" s="74"/>
      <c r="M116" s="77"/>
      <c r="N116" s="77"/>
      <c r="O116"/>
      <c r="P116" s="62">
        <v>24</v>
      </c>
      <c r="Q116" s="81">
        <v>2</v>
      </c>
      <c r="R116" s="81">
        <v>1</v>
      </c>
      <c r="S116" s="82"/>
      <c r="T116" s="83"/>
      <c r="U116" s="83"/>
    </row>
    <row r="117" spans="2:21" ht="18.75" customHeight="1" x14ac:dyDescent="0.45">
      <c r="B117" s="62">
        <f t="shared" si="1"/>
        <v>24</v>
      </c>
      <c r="C117" s="63">
        <v>2</v>
      </c>
      <c r="D117" s="63">
        <v>2</v>
      </c>
      <c r="E117" s="64"/>
      <c r="F117" s="65"/>
      <c r="G117" s="65"/>
      <c r="I117" s="72">
        <v>24</v>
      </c>
      <c r="J117" s="73">
        <v>2</v>
      </c>
      <c r="K117" s="73">
        <v>2</v>
      </c>
      <c r="L117" s="74"/>
      <c r="M117" s="77"/>
      <c r="N117" s="77"/>
      <c r="O117"/>
      <c r="P117" s="62">
        <v>24</v>
      </c>
      <c r="Q117" s="81">
        <v>2</v>
      </c>
      <c r="R117" s="81">
        <v>2</v>
      </c>
      <c r="S117" s="82"/>
      <c r="T117" s="83"/>
      <c r="U117" s="83"/>
    </row>
    <row r="118" spans="2:21" ht="18.75" customHeight="1" x14ac:dyDescent="0.45">
      <c r="B118" s="62">
        <f t="shared" si="1"/>
        <v>25</v>
      </c>
      <c r="C118" s="63">
        <v>1</v>
      </c>
      <c r="D118" s="63">
        <v>1</v>
      </c>
      <c r="E118" s="64"/>
      <c r="F118" s="65"/>
      <c r="G118" s="65"/>
      <c r="I118" s="72">
        <v>25</v>
      </c>
      <c r="J118" s="73">
        <v>1</v>
      </c>
      <c r="K118" s="73">
        <v>1</v>
      </c>
      <c r="L118" s="74"/>
      <c r="M118" s="77"/>
      <c r="N118" s="77"/>
      <c r="O118"/>
      <c r="P118" s="62">
        <v>25</v>
      </c>
      <c r="Q118" s="81">
        <v>1</v>
      </c>
      <c r="R118" s="81">
        <v>1</v>
      </c>
      <c r="S118" s="82"/>
      <c r="T118" s="83"/>
      <c r="U118" s="83"/>
    </row>
    <row r="119" spans="2:21" ht="18.75" customHeight="1" x14ac:dyDescent="0.45">
      <c r="B119" s="62">
        <f t="shared" si="1"/>
        <v>25</v>
      </c>
      <c r="C119" s="63">
        <v>1</v>
      </c>
      <c r="D119" s="63">
        <v>2</v>
      </c>
      <c r="E119" s="64"/>
      <c r="F119" s="65"/>
      <c r="G119" s="65"/>
      <c r="I119" s="72">
        <v>25</v>
      </c>
      <c r="J119" s="73">
        <v>1</v>
      </c>
      <c r="K119" s="73">
        <v>2</v>
      </c>
      <c r="L119" s="74"/>
      <c r="M119" s="77"/>
      <c r="N119" s="77"/>
      <c r="O119"/>
      <c r="P119" s="62">
        <v>25</v>
      </c>
      <c r="Q119" s="81">
        <v>1</v>
      </c>
      <c r="R119" s="81">
        <v>2</v>
      </c>
      <c r="S119" s="82"/>
      <c r="T119" s="83"/>
      <c r="U119" s="83"/>
    </row>
    <row r="120" spans="2:21" ht="18.75" customHeight="1" x14ac:dyDescent="0.45">
      <c r="B120" s="62">
        <f t="shared" si="1"/>
        <v>25</v>
      </c>
      <c r="C120" s="63">
        <v>2</v>
      </c>
      <c r="D120" s="63">
        <v>1</v>
      </c>
      <c r="E120" s="64"/>
      <c r="F120" s="65"/>
      <c r="G120" s="65"/>
      <c r="I120" s="72">
        <v>25</v>
      </c>
      <c r="J120" s="73">
        <v>2</v>
      </c>
      <c r="K120" s="73">
        <v>1</v>
      </c>
      <c r="L120" s="74"/>
      <c r="M120" s="77"/>
      <c r="N120" s="77"/>
      <c r="O120"/>
      <c r="P120" s="62">
        <v>25</v>
      </c>
      <c r="Q120" s="86">
        <v>2</v>
      </c>
      <c r="R120" s="86">
        <v>1</v>
      </c>
      <c r="S120" s="82"/>
      <c r="T120" s="83"/>
      <c r="U120" s="83"/>
    </row>
    <row r="121" spans="2:21" ht="18.75" customHeight="1" x14ac:dyDescent="0.45">
      <c r="B121" s="62">
        <f t="shared" si="1"/>
        <v>25</v>
      </c>
      <c r="C121" s="63">
        <v>2</v>
      </c>
      <c r="D121" s="63">
        <v>2</v>
      </c>
      <c r="E121" s="64"/>
      <c r="F121" s="65"/>
      <c r="G121" s="65"/>
      <c r="I121" s="72">
        <v>25</v>
      </c>
      <c r="J121" s="73">
        <v>2</v>
      </c>
      <c r="K121" s="73">
        <v>2</v>
      </c>
      <c r="L121" s="74"/>
      <c r="M121" s="77"/>
      <c r="N121" s="77"/>
      <c r="O121"/>
      <c r="P121" s="62">
        <v>25</v>
      </c>
      <c r="Q121" s="86">
        <v>2</v>
      </c>
      <c r="R121" s="86">
        <v>2</v>
      </c>
      <c r="S121" s="82"/>
      <c r="T121" s="83"/>
      <c r="U121" s="83"/>
    </row>
    <row r="122" spans="2:21" ht="18.75" customHeight="1" x14ac:dyDescent="0.45">
      <c r="J122" s="11"/>
      <c r="L122" s="25"/>
      <c r="O122"/>
      <c r="P122"/>
      <c r="Q122"/>
      <c r="R122"/>
      <c r="S122"/>
      <c r="T122"/>
    </row>
    <row r="123" spans="2:21" ht="18.75" customHeight="1" x14ac:dyDescent="0.45">
      <c r="J123" s="11"/>
      <c r="L123" s="25"/>
      <c r="O123" s="11"/>
      <c r="S123" s="11"/>
    </row>
    <row r="124" spans="2:21" ht="18.75" customHeight="1" x14ac:dyDescent="0.45">
      <c r="J124" s="11"/>
      <c r="L124" s="25"/>
      <c r="O124" s="11"/>
      <c r="S124" s="11"/>
    </row>
    <row r="125" spans="2:21" ht="18.75" customHeight="1" x14ac:dyDescent="0.45">
      <c r="J125" s="11"/>
      <c r="L125" s="25"/>
      <c r="O125" s="11"/>
      <c r="S125" s="11"/>
    </row>
    <row r="126" spans="2:21" ht="18.75" customHeight="1" x14ac:dyDescent="0.45">
      <c r="J126" s="11"/>
      <c r="L126" s="25"/>
      <c r="O126" s="11"/>
      <c r="S126" s="11"/>
    </row>
    <row r="127" spans="2:21" ht="18.75" customHeight="1" x14ac:dyDescent="0.45">
      <c r="J127" s="11"/>
      <c r="L127" s="25"/>
      <c r="O127" s="11"/>
      <c r="S127" s="11"/>
    </row>
    <row r="128" spans="2:21" ht="18.75" customHeight="1" x14ac:dyDescent="0.45">
      <c r="J128" s="11"/>
      <c r="L128" s="25"/>
      <c r="O128" s="11"/>
      <c r="S128" s="11"/>
    </row>
    <row r="129" spans="10:19" ht="18.75" customHeight="1" x14ac:dyDescent="0.45">
      <c r="J129" s="11"/>
      <c r="L129" s="25"/>
      <c r="O129" s="11"/>
      <c r="S129" s="11"/>
    </row>
    <row r="130" spans="10:19" ht="18.75" customHeight="1" x14ac:dyDescent="0.45">
      <c r="J130" s="11"/>
      <c r="L130" s="25"/>
      <c r="O130" s="11"/>
      <c r="S130" s="11"/>
    </row>
    <row r="131" spans="10:19" ht="18.75" customHeight="1" x14ac:dyDescent="0.45">
      <c r="J131" s="11"/>
      <c r="L131" s="25"/>
      <c r="O131" s="11"/>
      <c r="S131" s="11"/>
    </row>
    <row r="132" spans="10:19" ht="18.75" customHeight="1" x14ac:dyDescent="0.45">
      <c r="J132" s="11"/>
      <c r="L132" s="25"/>
      <c r="O132" s="11"/>
      <c r="S132" s="11"/>
    </row>
    <row r="133" spans="10:19" ht="18.75" customHeight="1" x14ac:dyDescent="0.45">
      <c r="J133" s="11"/>
      <c r="L133" s="25"/>
      <c r="O133" s="11"/>
      <c r="S133" s="11"/>
    </row>
    <row r="134" spans="10:19" ht="18.75" customHeight="1" x14ac:dyDescent="0.45">
      <c r="J134" s="11"/>
      <c r="L134" s="25"/>
      <c r="O134" s="11"/>
      <c r="S134" s="11"/>
    </row>
    <row r="135" spans="10:19" ht="18.75" customHeight="1" x14ac:dyDescent="0.45">
      <c r="J135" s="11"/>
      <c r="L135" s="25"/>
      <c r="O135" s="11"/>
      <c r="S135" s="11"/>
    </row>
    <row r="136" spans="10:19" ht="18.75" customHeight="1" x14ac:dyDescent="0.45">
      <c r="J136" s="11"/>
      <c r="L136" s="25"/>
      <c r="O136" s="11"/>
      <c r="S136" s="11"/>
    </row>
    <row r="137" spans="10:19" ht="18.75" customHeight="1" x14ac:dyDescent="0.45">
      <c r="J137" s="11"/>
      <c r="L137" s="25"/>
      <c r="O137" s="11"/>
      <c r="S137" s="11"/>
    </row>
    <row r="138" spans="10:19" ht="18.75" customHeight="1" x14ac:dyDescent="0.45">
      <c r="J138" s="11"/>
      <c r="L138" s="25"/>
      <c r="O138" s="11"/>
      <c r="S138" s="11"/>
    </row>
    <row r="139" spans="10:19" ht="18.75" customHeight="1" x14ac:dyDescent="0.45">
      <c r="J139" s="11"/>
      <c r="L139" s="25"/>
      <c r="O139" s="11"/>
      <c r="S139" s="11"/>
    </row>
    <row r="140" spans="10:19" ht="18.75" customHeight="1" x14ac:dyDescent="0.45">
      <c r="J140" s="11"/>
      <c r="L140" s="25"/>
      <c r="O140" s="11"/>
      <c r="S140" s="11"/>
    </row>
    <row r="141" spans="10:19" ht="18.75" customHeight="1" x14ac:dyDescent="0.45">
      <c r="J141" s="11"/>
      <c r="L141" s="25"/>
      <c r="O141" s="11"/>
      <c r="S141" s="11"/>
    </row>
    <row r="142" spans="10:19" ht="18.75" customHeight="1" x14ac:dyDescent="0.45">
      <c r="J142" s="11"/>
      <c r="L142" s="25"/>
      <c r="O142" s="11"/>
      <c r="S142" s="11"/>
    </row>
    <row r="143" spans="10:19" ht="18.75" customHeight="1" x14ac:dyDescent="0.45">
      <c r="J143" s="11"/>
      <c r="L143" s="25"/>
      <c r="O143" s="11"/>
      <c r="S143" s="11"/>
    </row>
    <row r="144" spans="10:19" ht="18.75" customHeight="1" x14ac:dyDescent="0.45">
      <c r="J144" s="11"/>
      <c r="L144" s="25"/>
      <c r="O144" s="11"/>
      <c r="S144" s="11"/>
    </row>
    <row r="145" spans="10:19" ht="18.75" customHeight="1" x14ac:dyDescent="0.45">
      <c r="J145" s="11"/>
      <c r="L145" s="25"/>
      <c r="O145" s="11"/>
      <c r="S145" s="11"/>
    </row>
    <row r="146" spans="10:19" ht="18.75" customHeight="1" x14ac:dyDescent="0.45">
      <c r="J146" s="11"/>
      <c r="L146" s="25"/>
      <c r="O146" s="11"/>
      <c r="S146" s="11"/>
    </row>
    <row r="147" spans="10:19" ht="18.75" customHeight="1" x14ac:dyDescent="0.45">
      <c r="J147" s="11"/>
      <c r="L147" s="25"/>
      <c r="O147" s="11"/>
      <c r="S147" s="11"/>
    </row>
    <row r="148" spans="10:19" ht="18.75" customHeight="1" x14ac:dyDescent="0.45">
      <c r="J148" s="11"/>
      <c r="L148" s="25"/>
      <c r="O148" s="11"/>
      <c r="S148" s="11"/>
    </row>
    <row r="149" spans="10:19" ht="18.75" customHeight="1" x14ac:dyDescent="0.45">
      <c r="J149" s="11"/>
      <c r="L149" s="25"/>
      <c r="O149" s="11"/>
      <c r="S149" s="11"/>
    </row>
    <row r="150" spans="10:19" ht="18.75" customHeight="1" x14ac:dyDescent="0.45">
      <c r="J150" s="11"/>
      <c r="L150" s="25"/>
      <c r="O150" s="11"/>
      <c r="S150" s="11"/>
    </row>
    <row r="151" spans="10:19" ht="18.75" customHeight="1" x14ac:dyDescent="0.45">
      <c r="J151" s="11"/>
      <c r="L151" s="25"/>
      <c r="O151" s="11"/>
      <c r="S151" s="11"/>
    </row>
    <row r="152" spans="10:19" ht="18.75" customHeight="1" x14ac:dyDescent="0.45">
      <c r="J152" s="11"/>
      <c r="L152" s="25"/>
      <c r="O152" s="11"/>
      <c r="S152" s="11"/>
    </row>
    <row r="153" spans="10:19" ht="18.75" customHeight="1" x14ac:dyDescent="0.45">
      <c r="J153" s="11"/>
      <c r="L153" s="25"/>
      <c r="O153" s="11"/>
      <c r="S153" s="11"/>
    </row>
    <row r="154" spans="10:19" ht="18.75" customHeight="1" x14ac:dyDescent="0.45">
      <c r="J154" s="11"/>
      <c r="L154" s="25"/>
      <c r="O154" s="11"/>
      <c r="S154" s="11"/>
    </row>
    <row r="155" spans="10:19" ht="18.75" customHeight="1" x14ac:dyDescent="0.45">
      <c r="J155" s="11"/>
      <c r="L155" s="25"/>
      <c r="O155" s="11"/>
      <c r="S155" s="11"/>
    </row>
    <row r="156" spans="10:19" ht="18.75" customHeight="1" x14ac:dyDescent="0.45">
      <c r="J156" s="11"/>
      <c r="L156" s="25"/>
      <c r="O156" s="11"/>
      <c r="S156" s="11"/>
    </row>
    <row r="157" spans="10:19" ht="18.75" customHeight="1" x14ac:dyDescent="0.45">
      <c r="J157" s="11"/>
      <c r="L157" s="25"/>
      <c r="O157" s="11"/>
      <c r="S157" s="11"/>
    </row>
    <row r="158" spans="10:19" ht="18.75" customHeight="1" x14ac:dyDescent="0.45">
      <c r="J158" s="11"/>
      <c r="L158" s="25"/>
      <c r="O158" s="11"/>
      <c r="S158" s="11"/>
    </row>
    <row r="159" spans="10:19" ht="18.75" customHeight="1" x14ac:dyDescent="0.45">
      <c r="J159" s="11"/>
      <c r="L159" s="25"/>
      <c r="O159" s="11"/>
      <c r="S159" s="11"/>
    </row>
    <row r="160" spans="10:19" ht="18.75" customHeight="1" x14ac:dyDescent="0.45">
      <c r="J160" s="11"/>
      <c r="L160" s="25"/>
      <c r="O160" s="11"/>
      <c r="S160" s="11"/>
    </row>
    <row r="161" spans="10:19" ht="18.75" customHeight="1" x14ac:dyDescent="0.45">
      <c r="J161" s="11"/>
      <c r="L161" s="25"/>
      <c r="O161" s="11"/>
      <c r="S161" s="11"/>
    </row>
    <row r="162" spans="10:19" ht="18.75" customHeight="1" x14ac:dyDescent="0.45">
      <c r="J162" s="11"/>
      <c r="L162" s="25"/>
      <c r="O162" s="11"/>
      <c r="S162" s="11"/>
    </row>
    <row r="163" spans="10:19" ht="18.75" customHeight="1" x14ac:dyDescent="0.45">
      <c r="J163" s="11"/>
      <c r="L163" s="25"/>
      <c r="O163" s="11"/>
      <c r="S163" s="11"/>
    </row>
    <row r="164" spans="10:19" ht="18.75" customHeight="1" x14ac:dyDescent="0.45">
      <c r="J164" s="11"/>
      <c r="L164" s="25"/>
      <c r="O164" s="11"/>
      <c r="S164" s="11"/>
    </row>
    <row r="165" spans="10:19" ht="18.75" customHeight="1" x14ac:dyDescent="0.45">
      <c r="J165" s="11"/>
      <c r="L165" s="25"/>
      <c r="O165" s="11"/>
      <c r="S165" s="11"/>
    </row>
    <row r="166" spans="10:19" ht="18.75" customHeight="1" x14ac:dyDescent="0.45">
      <c r="J166" s="11"/>
      <c r="L166" s="25"/>
      <c r="O166" s="11"/>
      <c r="S166" s="11"/>
    </row>
    <row r="167" spans="10:19" ht="18.75" customHeight="1" x14ac:dyDescent="0.45">
      <c r="J167" s="11"/>
      <c r="L167" s="25"/>
      <c r="O167" s="11"/>
      <c r="S167" s="11"/>
    </row>
    <row r="168" spans="10:19" ht="18.75" customHeight="1" x14ac:dyDescent="0.45">
      <c r="J168" s="11"/>
      <c r="L168" s="25"/>
      <c r="O168" s="11"/>
      <c r="S168" s="11"/>
    </row>
    <row r="169" spans="10:19" ht="18.75" customHeight="1" x14ac:dyDescent="0.45">
      <c r="J169" s="11"/>
      <c r="L169" s="25"/>
      <c r="O169" s="11"/>
      <c r="S169" s="11"/>
    </row>
    <row r="170" spans="10:19" ht="18.75" customHeight="1" x14ac:dyDescent="0.45">
      <c r="J170" s="11"/>
      <c r="L170" s="25"/>
      <c r="O170" s="11"/>
      <c r="S170" s="11"/>
    </row>
    <row r="171" spans="10:19" ht="18.75" customHeight="1" x14ac:dyDescent="0.45">
      <c r="J171" s="11"/>
      <c r="L171" s="25"/>
      <c r="O171" s="11"/>
      <c r="S171" s="11"/>
    </row>
    <row r="172" spans="10:19" ht="18.75" customHeight="1" x14ac:dyDescent="0.45">
      <c r="J172" s="11"/>
      <c r="L172" s="25"/>
      <c r="O172" s="11"/>
      <c r="S172" s="11"/>
    </row>
    <row r="173" spans="10:19" ht="18.75" customHeight="1" x14ac:dyDescent="0.45">
      <c r="J173" s="11"/>
      <c r="L173" s="25"/>
      <c r="O173" s="11"/>
      <c r="S173" s="11"/>
    </row>
    <row r="174" spans="10:19" ht="18.75" customHeight="1" x14ac:dyDescent="0.45">
      <c r="J174" s="11"/>
      <c r="L174" s="25"/>
      <c r="O174" s="11"/>
      <c r="S174" s="11"/>
    </row>
    <row r="175" spans="10:19" ht="18.75" customHeight="1" x14ac:dyDescent="0.45">
      <c r="J175" s="11"/>
      <c r="L175" s="25"/>
      <c r="O175" s="11"/>
      <c r="S175" s="11"/>
    </row>
    <row r="176" spans="10:19" ht="18.75" customHeight="1" x14ac:dyDescent="0.45">
      <c r="J176" s="11"/>
      <c r="L176" s="25"/>
      <c r="O176" s="11"/>
      <c r="S176" s="11"/>
    </row>
    <row r="177" spans="10:19" ht="18.75" customHeight="1" x14ac:dyDescent="0.45">
      <c r="J177" s="11"/>
      <c r="L177" s="25"/>
      <c r="O177" s="11"/>
      <c r="S177" s="11"/>
    </row>
    <row r="178" spans="10:19" ht="18.75" customHeight="1" x14ac:dyDescent="0.45">
      <c r="J178" s="11"/>
      <c r="L178" s="25"/>
      <c r="O178" s="11"/>
      <c r="S178" s="11"/>
    </row>
    <row r="179" spans="10:19" ht="18.75" customHeight="1" x14ac:dyDescent="0.45">
      <c r="J179" s="11"/>
      <c r="L179" s="25"/>
      <c r="O179" s="11"/>
      <c r="S179" s="11"/>
    </row>
    <row r="180" spans="10:19" ht="18.75" customHeight="1" x14ac:dyDescent="0.45">
      <c r="J180" s="11"/>
      <c r="L180" s="25"/>
      <c r="O180" s="11"/>
      <c r="S180" s="11"/>
    </row>
    <row r="181" spans="10:19" ht="18.75" customHeight="1" x14ac:dyDescent="0.45">
      <c r="J181" s="11"/>
      <c r="L181" s="25"/>
      <c r="O181" s="11"/>
      <c r="S181" s="11"/>
    </row>
    <row r="182" spans="10:19" ht="18.75" customHeight="1" x14ac:dyDescent="0.45">
      <c r="J182" s="11"/>
      <c r="L182" s="25"/>
      <c r="O182" s="11"/>
      <c r="S182" s="11"/>
    </row>
    <row r="183" spans="10:19" ht="18.75" customHeight="1" x14ac:dyDescent="0.45">
      <c r="J183" s="11"/>
      <c r="L183" s="25"/>
      <c r="O183" s="11"/>
      <c r="S183" s="11"/>
    </row>
    <row r="184" spans="10:19" ht="18.75" customHeight="1" x14ac:dyDescent="0.45">
      <c r="J184" s="11"/>
      <c r="L184" s="25"/>
      <c r="O184" s="11"/>
      <c r="S184" s="11"/>
    </row>
    <row r="185" spans="10:19" ht="18.75" customHeight="1" x14ac:dyDescent="0.45">
      <c r="J185" s="11"/>
      <c r="L185" s="25"/>
      <c r="O185" s="11"/>
      <c r="S185" s="11"/>
    </row>
    <row r="186" spans="10:19" ht="18.75" customHeight="1" x14ac:dyDescent="0.45">
      <c r="J186" s="11"/>
      <c r="L186" s="25"/>
      <c r="O186" s="11"/>
      <c r="S186" s="11"/>
    </row>
    <row r="187" spans="10:19" ht="18.75" customHeight="1" x14ac:dyDescent="0.45">
      <c r="J187" s="11"/>
      <c r="L187" s="25"/>
      <c r="O187" s="11"/>
      <c r="S187" s="11"/>
    </row>
    <row r="188" spans="10:19" ht="18.75" customHeight="1" x14ac:dyDescent="0.45">
      <c r="J188" s="11"/>
      <c r="L188" s="25"/>
      <c r="O188" s="11"/>
      <c r="S188" s="11"/>
    </row>
    <row r="189" spans="10:19" ht="18.75" customHeight="1" x14ac:dyDescent="0.45">
      <c r="J189" s="11"/>
      <c r="L189" s="25"/>
      <c r="O189" s="11"/>
      <c r="S189" s="11"/>
    </row>
    <row r="190" spans="10:19" ht="18.75" customHeight="1" x14ac:dyDescent="0.45">
      <c r="J190" s="11"/>
      <c r="L190" s="25"/>
      <c r="O190" s="11"/>
      <c r="S190" s="11"/>
    </row>
    <row r="191" spans="10:19" ht="18.75" customHeight="1" x14ac:dyDescent="0.45">
      <c r="J191" s="11"/>
      <c r="L191" s="25"/>
      <c r="O191" s="11"/>
      <c r="S191" s="11"/>
    </row>
    <row r="192" spans="10:19" ht="18.75" customHeight="1" x14ac:dyDescent="0.45">
      <c r="J192" s="11"/>
      <c r="L192" s="25"/>
      <c r="O192" s="11"/>
      <c r="S192" s="11"/>
    </row>
    <row r="193" spans="10:19" ht="18.75" customHeight="1" x14ac:dyDescent="0.45">
      <c r="J193" s="11"/>
      <c r="L193" s="25"/>
      <c r="O193" s="11"/>
      <c r="S193" s="11"/>
    </row>
    <row r="194" spans="10:19" ht="18.75" customHeight="1" x14ac:dyDescent="0.45">
      <c r="J194" s="11"/>
      <c r="L194" s="25"/>
      <c r="O194" s="11"/>
      <c r="S194" s="11"/>
    </row>
    <row r="195" spans="10:19" ht="18.75" customHeight="1" x14ac:dyDescent="0.45">
      <c r="J195" s="11"/>
      <c r="L195" s="25"/>
      <c r="O195" s="11"/>
      <c r="S195" s="11"/>
    </row>
    <row r="196" spans="10:19" ht="18.75" customHeight="1" x14ac:dyDescent="0.45">
      <c r="J196" s="11"/>
      <c r="L196" s="25"/>
      <c r="O196" s="11"/>
      <c r="S196" s="11"/>
    </row>
    <row r="197" spans="10:19" ht="18.75" customHeight="1" x14ac:dyDescent="0.45">
      <c r="J197" s="11"/>
      <c r="L197" s="25"/>
      <c r="O197" s="11"/>
      <c r="S197" s="11"/>
    </row>
    <row r="198" spans="10:19" ht="18.75" customHeight="1" x14ac:dyDescent="0.45">
      <c r="J198" s="11"/>
      <c r="L198" s="25"/>
      <c r="O198" s="11"/>
      <c r="S198" s="11"/>
    </row>
    <row r="199" spans="10:19" ht="18.75" customHeight="1" x14ac:dyDescent="0.45">
      <c r="J199" s="11"/>
      <c r="L199" s="25"/>
      <c r="O199" s="11"/>
      <c r="S199" s="11"/>
    </row>
    <row r="200" spans="10:19" ht="18.75" customHeight="1" x14ac:dyDescent="0.45">
      <c r="J200" s="11"/>
      <c r="L200" s="25"/>
      <c r="O200" s="11"/>
      <c r="S200" s="11"/>
    </row>
    <row r="201" spans="10:19" ht="18.75" customHeight="1" x14ac:dyDescent="0.45">
      <c r="J201" s="11"/>
      <c r="L201" s="25"/>
      <c r="O201" s="11"/>
      <c r="S201" s="11"/>
    </row>
    <row r="202" spans="10:19" ht="18.75" customHeight="1" x14ac:dyDescent="0.45">
      <c r="J202" s="11"/>
      <c r="L202" s="25"/>
      <c r="O202" s="11"/>
      <c r="S202" s="11"/>
    </row>
    <row r="203" spans="10:19" ht="18.75" customHeight="1" x14ac:dyDescent="0.45">
      <c r="J203" s="11"/>
      <c r="L203" s="25"/>
      <c r="O203" s="11"/>
      <c r="S203" s="11"/>
    </row>
    <row r="204" spans="10:19" ht="18.75" customHeight="1" x14ac:dyDescent="0.45">
      <c r="J204" s="11"/>
      <c r="L204" s="25"/>
      <c r="O204" s="11"/>
      <c r="S204" s="11"/>
    </row>
    <row r="205" spans="10:19" ht="18.75" customHeight="1" x14ac:dyDescent="0.45">
      <c r="J205" s="11"/>
      <c r="L205" s="25"/>
      <c r="O205" s="11"/>
      <c r="S205" s="11"/>
    </row>
    <row r="206" spans="10:19" ht="18.75" customHeight="1" x14ac:dyDescent="0.45">
      <c r="J206" s="11"/>
      <c r="L206" s="25"/>
      <c r="O206" s="11"/>
      <c r="S206" s="11"/>
    </row>
    <row r="207" spans="10:19" ht="18.75" customHeight="1" x14ac:dyDescent="0.45">
      <c r="J207" s="11"/>
      <c r="L207" s="25"/>
      <c r="O207" s="11"/>
      <c r="S207" s="11"/>
    </row>
    <row r="208" spans="10:19" ht="18.75" customHeight="1" x14ac:dyDescent="0.45">
      <c r="J208" s="11"/>
      <c r="L208" s="25"/>
      <c r="O208" s="11"/>
      <c r="S208" s="11"/>
    </row>
    <row r="209" spans="10:19" ht="18.75" customHeight="1" x14ac:dyDescent="0.45">
      <c r="J209" s="11"/>
      <c r="L209" s="25"/>
      <c r="O209" s="11"/>
      <c r="S209" s="11"/>
    </row>
    <row r="210" spans="10:19" ht="18.75" customHeight="1" x14ac:dyDescent="0.45">
      <c r="J210" s="11"/>
      <c r="L210" s="25"/>
      <c r="O210" s="11"/>
      <c r="S210" s="11"/>
    </row>
    <row r="211" spans="10:19" ht="18.75" customHeight="1" x14ac:dyDescent="0.45">
      <c r="J211" s="11"/>
      <c r="L211" s="25"/>
      <c r="O211" s="11"/>
      <c r="S211" s="11"/>
    </row>
    <row r="212" spans="10:19" ht="18.75" customHeight="1" x14ac:dyDescent="0.45">
      <c r="J212" s="11"/>
      <c r="L212" s="25"/>
      <c r="O212" s="11"/>
      <c r="S212" s="11"/>
    </row>
    <row r="213" spans="10:19" ht="18.75" customHeight="1" x14ac:dyDescent="0.45">
      <c r="J213" s="11"/>
      <c r="L213" s="25"/>
      <c r="O213" s="11"/>
      <c r="S213" s="11"/>
    </row>
    <row r="214" spans="10:19" ht="18.75" customHeight="1" x14ac:dyDescent="0.45">
      <c r="J214" s="11"/>
      <c r="L214" s="25"/>
      <c r="O214" s="11"/>
      <c r="S214" s="11"/>
    </row>
    <row r="215" spans="10:19" ht="18.75" customHeight="1" x14ac:dyDescent="0.45">
      <c r="J215" s="11"/>
      <c r="L215" s="25"/>
      <c r="O215" s="11"/>
      <c r="S215" s="11"/>
    </row>
    <row r="216" spans="10:19" ht="18.75" customHeight="1" x14ac:dyDescent="0.45">
      <c r="J216" s="11"/>
      <c r="L216" s="25"/>
      <c r="O216" s="11"/>
      <c r="S216" s="11"/>
    </row>
    <row r="217" spans="10:19" ht="18.75" customHeight="1" x14ac:dyDescent="0.45">
      <c r="J217" s="11"/>
      <c r="L217" s="25"/>
      <c r="O217" s="11"/>
      <c r="S217" s="11"/>
    </row>
    <row r="218" spans="10:19" ht="18.75" customHeight="1" x14ac:dyDescent="0.45">
      <c r="J218" s="11"/>
      <c r="L218" s="25"/>
      <c r="O218" s="11"/>
      <c r="S218" s="11"/>
    </row>
    <row r="219" spans="10:19" ht="18.75" customHeight="1" x14ac:dyDescent="0.45">
      <c r="J219" s="11"/>
      <c r="L219" s="25"/>
      <c r="O219" s="11"/>
      <c r="S219" s="11"/>
    </row>
    <row r="220" spans="10:19" ht="18.75" customHeight="1" x14ac:dyDescent="0.45">
      <c r="O220" s="11"/>
      <c r="S220" s="11"/>
    </row>
    <row r="221" spans="10:19" ht="18.75" customHeight="1" x14ac:dyDescent="0.45">
      <c r="O221" s="11"/>
      <c r="S221" s="11"/>
    </row>
    <row r="222" spans="10:19" ht="18.75" customHeight="1" x14ac:dyDescent="0.45"/>
    <row r="1048576" spans="5:5" x14ac:dyDescent="0.45">
      <c r="E1048576" s="64"/>
    </row>
  </sheetData>
  <mergeCells count="1">
    <mergeCell ref="B5:G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D5EE-0325-4455-A68D-EC555B9BB190}">
  <sheetPr>
    <outlinePr summaryBelow="0"/>
  </sheetPr>
  <dimension ref="A1:K59"/>
  <sheetViews>
    <sheetView tabSelected="1" topLeftCell="A4" workbookViewId="0">
      <selection activeCell="D19" sqref="D19"/>
    </sheetView>
  </sheetViews>
  <sheetFormatPr defaultRowHeight="14.25" x14ac:dyDescent="0.45"/>
  <cols>
    <col min="1" max="1" width="33" style="154" customWidth="1"/>
    <col min="2" max="2" width="9.796875" style="185" bestFit="1" customWidth="1"/>
    <col min="3" max="3" width="18.06640625" style="184" customWidth="1"/>
    <col min="4" max="4" width="13.59765625" style="211" bestFit="1" customWidth="1"/>
    <col min="5" max="5" width="16.59765625" style="184" bestFit="1" customWidth="1"/>
    <col min="6" max="6" width="17.33203125" style="154" bestFit="1" customWidth="1"/>
    <col min="7" max="16384" width="9.06640625" style="154"/>
  </cols>
  <sheetData>
    <row r="1" spans="1:11" ht="48" customHeight="1" thickBot="1" x14ac:dyDescent="0.5">
      <c r="A1" s="153" t="s">
        <v>124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1" ht="18.75" customHeight="1" x14ac:dyDescent="0.45">
      <c r="A2" s="155" t="s">
        <v>7</v>
      </c>
      <c r="B2" s="156" t="s">
        <v>135</v>
      </c>
      <c r="C2" s="157"/>
      <c r="D2" s="207"/>
      <c r="E2" s="158"/>
      <c r="F2" s="159"/>
    </row>
    <row r="3" spans="1:11" ht="18.75" customHeight="1" thickBot="1" x14ac:dyDescent="0.5">
      <c r="A3" s="160" t="s">
        <v>97</v>
      </c>
      <c r="B3" s="161" t="s">
        <v>55</v>
      </c>
      <c r="C3" s="162"/>
      <c r="D3" s="208"/>
      <c r="E3" s="163"/>
      <c r="F3" s="164"/>
    </row>
    <row r="4" spans="1:11" ht="18.75" customHeight="1" thickBot="1" x14ac:dyDescent="0.5">
      <c r="A4" s="160"/>
      <c r="B4" s="165"/>
      <c r="C4" s="165"/>
      <c r="D4" s="209"/>
      <c r="E4" s="165"/>
      <c r="F4" s="166"/>
    </row>
    <row r="5" spans="1:11" ht="18.75" customHeight="1" x14ac:dyDescent="0.45">
      <c r="A5" s="166" t="s">
        <v>98</v>
      </c>
      <c r="B5" s="167"/>
      <c r="C5" s="168"/>
      <c r="D5" s="168"/>
      <c r="E5" s="168"/>
      <c r="F5" s="169"/>
    </row>
    <row r="6" spans="1:11" ht="18.75" customHeight="1" x14ac:dyDescent="0.45">
      <c r="A6" s="170" t="s">
        <v>99</v>
      </c>
      <c r="B6" s="171"/>
      <c r="C6" s="172"/>
      <c r="D6" s="210"/>
      <c r="E6" s="172"/>
      <c r="F6" s="173"/>
    </row>
    <row r="7" spans="1:11" ht="18.75" customHeight="1" x14ac:dyDescent="0.45">
      <c r="A7" s="174" t="s">
        <v>100</v>
      </c>
      <c r="B7" s="175"/>
      <c r="C7" s="176"/>
      <c r="D7" s="176"/>
      <c r="E7" s="176"/>
      <c r="F7" s="177"/>
    </row>
    <row r="8" spans="1:11" ht="18.75" customHeight="1" x14ac:dyDescent="0.45">
      <c r="A8" s="174" t="s">
        <v>101</v>
      </c>
      <c r="B8" s="175"/>
      <c r="C8" s="176"/>
      <c r="D8" s="176"/>
      <c r="E8" s="176"/>
      <c r="F8" s="177"/>
    </row>
    <row r="9" spans="1:11" ht="18.75" customHeight="1" thickBot="1" x14ac:dyDescent="0.5">
      <c r="A9" s="178" t="s">
        <v>102</v>
      </c>
      <c r="B9" s="179"/>
      <c r="C9" s="180"/>
      <c r="D9" s="180"/>
      <c r="E9" s="180"/>
      <c r="F9" s="181"/>
    </row>
    <row r="10" spans="1:11" ht="18.75" customHeight="1" x14ac:dyDescent="0.45">
      <c r="A10" s="182" t="s">
        <v>125</v>
      </c>
      <c r="B10" s="183" t="s">
        <v>126</v>
      </c>
    </row>
    <row r="11" spans="1:11" ht="18.75" customHeight="1" thickBot="1" x14ac:dyDescent="0.5"/>
    <row r="12" spans="1:11" ht="18.75" customHeight="1" x14ac:dyDescent="0.45">
      <c r="A12" s="182" t="s">
        <v>127</v>
      </c>
      <c r="B12" s="186" t="s">
        <v>128</v>
      </c>
      <c r="C12" s="187"/>
      <c r="D12" s="187"/>
      <c r="E12" s="187"/>
      <c r="F12" s="188"/>
    </row>
    <row r="13" spans="1:11" ht="18.75" customHeight="1" thickBot="1" x14ac:dyDescent="0.5">
      <c r="B13" s="189" t="s">
        <v>129</v>
      </c>
      <c r="C13" s="190"/>
      <c r="D13" s="190"/>
      <c r="E13" s="190"/>
      <c r="F13" s="191"/>
    </row>
    <row r="14" spans="1:11" ht="18.75" customHeight="1" x14ac:dyDescent="0.45"/>
    <row r="15" spans="1:11" ht="18.75" customHeight="1" x14ac:dyDescent="0.45">
      <c r="A15" s="154" t="s">
        <v>103</v>
      </c>
      <c r="B15" s="185" t="s">
        <v>70</v>
      </c>
      <c r="C15" s="184" t="s">
        <v>104</v>
      </c>
      <c r="D15" s="211" t="s">
        <v>105</v>
      </c>
      <c r="E15" s="184" t="s">
        <v>130</v>
      </c>
      <c r="F15" s="154" t="s">
        <v>131</v>
      </c>
    </row>
    <row r="16" spans="1:11" ht="18.75" customHeight="1" x14ac:dyDescent="0.45">
      <c r="A16" s="203" t="s">
        <v>66</v>
      </c>
      <c r="B16" s="204">
        <v>1</v>
      </c>
      <c r="C16">
        <v>325.7</v>
      </c>
      <c r="D16" s="193">
        <f>AVERAGE(C16:C18)</f>
        <v>322.35000000000002</v>
      </c>
      <c r="E16">
        <v>322.35000000000002</v>
      </c>
    </row>
    <row r="17" spans="1:5" ht="18.75" customHeight="1" x14ac:dyDescent="0.45">
      <c r="A17" s="203" t="s">
        <v>66</v>
      </c>
      <c r="B17" s="204">
        <v>2</v>
      </c>
      <c r="C17">
        <v>319</v>
      </c>
    </row>
    <row r="18" spans="1:5" ht="18.75" customHeight="1" x14ac:dyDescent="0.45">
      <c r="A18" s="203" t="s">
        <v>66</v>
      </c>
      <c r="B18" s="204">
        <v>3</v>
      </c>
    </row>
    <row r="19" spans="1:5" ht="18.75" customHeight="1" x14ac:dyDescent="0.45">
      <c r="A19" s="205" t="s">
        <v>132</v>
      </c>
      <c r="B19" s="206">
        <v>1</v>
      </c>
      <c r="C19">
        <v>273.5</v>
      </c>
      <c r="D19" s="193">
        <f>AVERAGE(C19:C20)</f>
        <v>272.8</v>
      </c>
      <c r="E19">
        <v>290.11500000000001</v>
      </c>
    </row>
    <row r="20" spans="1:5" ht="18.75" customHeight="1" x14ac:dyDescent="0.45">
      <c r="A20" s="205" t="s">
        <v>132</v>
      </c>
      <c r="B20" s="206">
        <v>2</v>
      </c>
      <c r="C20">
        <v>272.10000000000002</v>
      </c>
    </row>
    <row r="21" spans="1:5" ht="18.75" customHeight="1" x14ac:dyDescent="0.45">
      <c r="A21" s="205" t="s">
        <v>132</v>
      </c>
      <c r="B21" s="206">
        <v>3</v>
      </c>
      <c r="C21" s="192"/>
    </row>
    <row r="22" spans="1:5" ht="18.75" customHeight="1" x14ac:dyDescent="0.45">
      <c r="A22" s="203" t="s">
        <v>67</v>
      </c>
      <c r="B22" s="204">
        <v>1</v>
      </c>
      <c r="C22">
        <v>196.8</v>
      </c>
      <c r="D22" s="193">
        <f>AVERAGE(C22:C24)</f>
        <v>196.60000000000002</v>
      </c>
      <c r="E22">
        <v>257.88</v>
      </c>
    </row>
    <row r="23" spans="1:5" ht="18.75" customHeight="1" x14ac:dyDescent="0.45">
      <c r="A23" s="203" t="s">
        <v>67</v>
      </c>
      <c r="B23" s="204">
        <v>2</v>
      </c>
      <c r="C23">
        <v>196.4</v>
      </c>
      <c r="D23" s="193"/>
    </row>
    <row r="24" spans="1:5" ht="18.75" customHeight="1" x14ac:dyDescent="0.45">
      <c r="A24" s="203" t="s">
        <v>67</v>
      </c>
      <c r="B24" s="204">
        <v>3</v>
      </c>
      <c r="C24" s="192"/>
      <c r="D24" s="193"/>
    </row>
    <row r="25" spans="1:5" ht="18.75" customHeight="1" x14ac:dyDescent="0.45">
      <c r="A25" s="205" t="s">
        <v>68</v>
      </c>
      <c r="B25" s="206">
        <v>1</v>
      </c>
      <c r="C25">
        <v>169.9</v>
      </c>
      <c r="D25" s="193">
        <f>AVERAGE(C25:C27)</f>
        <v>169.5</v>
      </c>
      <c r="E25">
        <v>225.65</v>
      </c>
    </row>
    <row r="26" spans="1:5" ht="18.75" customHeight="1" x14ac:dyDescent="0.45">
      <c r="A26" s="205" t="s">
        <v>68</v>
      </c>
      <c r="B26" s="206">
        <v>2</v>
      </c>
      <c r="C26">
        <v>169.1</v>
      </c>
      <c r="D26" s="193"/>
    </row>
    <row r="27" spans="1:5" ht="18.75" customHeight="1" x14ac:dyDescent="0.45">
      <c r="A27" s="205" t="s">
        <v>68</v>
      </c>
      <c r="B27" s="206">
        <v>3</v>
      </c>
      <c r="C27" s="192"/>
      <c r="D27" s="193"/>
    </row>
    <row r="28" spans="1:5" ht="18.75" customHeight="1" x14ac:dyDescent="0.45">
      <c r="A28" s="203" t="s">
        <v>133</v>
      </c>
      <c r="B28" s="204">
        <v>1</v>
      </c>
      <c r="C28">
        <v>136.19999999999999</v>
      </c>
      <c r="D28">
        <v>136.19999999999999</v>
      </c>
      <c r="E28">
        <v>193.4</v>
      </c>
    </row>
    <row r="29" spans="1:5" ht="18.75" customHeight="1" x14ac:dyDescent="0.45">
      <c r="A29" s="203" t="s">
        <v>133</v>
      </c>
      <c r="B29" s="204">
        <v>2</v>
      </c>
      <c r="C29">
        <v>135.80000000000001</v>
      </c>
      <c r="D29"/>
    </row>
    <row r="30" spans="1:5" ht="18.75" customHeight="1" x14ac:dyDescent="0.45">
      <c r="A30" s="203" t="s">
        <v>133</v>
      </c>
      <c r="B30" s="204">
        <v>3</v>
      </c>
      <c r="C30" s="192"/>
      <c r="D30" s="193"/>
    </row>
    <row r="31" spans="1:5" ht="18.75" customHeight="1" x14ac:dyDescent="0.45">
      <c r="A31" s="205" t="s">
        <v>136</v>
      </c>
      <c r="B31" s="206">
        <v>1</v>
      </c>
      <c r="C31">
        <v>116.1</v>
      </c>
      <c r="D31" s="193">
        <f>AVERAGE(C31:C33)</f>
        <v>115.6</v>
      </c>
      <c r="E31">
        <v>161.18</v>
      </c>
    </row>
    <row r="32" spans="1:5" ht="18.75" customHeight="1" x14ac:dyDescent="0.45">
      <c r="A32" s="205" t="s">
        <v>136</v>
      </c>
      <c r="B32" s="206">
        <v>2</v>
      </c>
      <c r="C32">
        <v>115.1</v>
      </c>
      <c r="D32" s="193"/>
    </row>
    <row r="33" spans="1:5" ht="18.75" customHeight="1" x14ac:dyDescent="0.45">
      <c r="A33" s="205" t="s">
        <v>136</v>
      </c>
      <c r="B33" s="206">
        <v>3</v>
      </c>
      <c r="C33" s="192"/>
      <c r="D33" s="193"/>
    </row>
    <row r="34" spans="1:5" ht="18.75" customHeight="1" x14ac:dyDescent="0.45">
      <c r="A34" s="203" t="s">
        <v>137</v>
      </c>
      <c r="B34" s="204">
        <v>1</v>
      </c>
      <c r="C34">
        <v>93.6</v>
      </c>
      <c r="D34" s="193">
        <f>AVERAGE(C34:C36)</f>
        <v>94.05</v>
      </c>
      <c r="E34">
        <v>128.94</v>
      </c>
    </row>
    <row r="35" spans="1:5" ht="18.75" customHeight="1" x14ac:dyDescent="0.45">
      <c r="A35" s="203" t="s">
        <v>137</v>
      </c>
      <c r="B35" s="204">
        <v>2</v>
      </c>
      <c r="C35">
        <v>94.5</v>
      </c>
      <c r="D35" s="193"/>
    </row>
    <row r="36" spans="1:5" ht="18.75" customHeight="1" x14ac:dyDescent="0.45">
      <c r="A36" s="203" t="s">
        <v>137</v>
      </c>
      <c r="B36" s="204">
        <v>3</v>
      </c>
      <c r="C36" s="192"/>
      <c r="D36" s="193"/>
    </row>
    <row r="37" spans="1:5" ht="18.75" customHeight="1" x14ac:dyDescent="0.45">
      <c r="A37" s="205" t="s">
        <v>138</v>
      </c>
      <c r="B37" s="206">
        <v>1</v>
      </c>
      <c r="C37">
        <v>71.599999999999994</v>
      </c>
      <c r="D37" s="193">
        <f>AVERAGE(C37:C39)</f>
        <v>71.3</v>
      </c>
      <c r="E37">
        <v>96.71</v>
      </c>
    </row>
    <row r="38" spans="1:5" ht="18.75" customHeight="1" x14ac:dyDescent="0.45">
      <c r="A38" s="205" t="s">
        <v>138</v>
      </c>
      <c r="B38" s="206">
        <v>2</v>
      </c>
      <c r="C38">
        <v>71</v>
      </c>
      <c r="D38" s="193"/>
    </row>
    <row r="39" spans="1:5" ht="18.75" customHeight="1" x14ac:dyDescent="0.45">
      <c r="A39" s="205" t="s">
        <v>138</v>
      </c>
      <c r="B39" s="206">
        <v>3</v>
      </c>
      <c r="C39" s="192"/>
      <c r="D39" s="193"/>
    </row>
    <row r="40" spans="1:5" ht="18.75" customHeight="1" x14ac:dyDescent="0.45">
      <c r="A40" s="203" t="s">
        <v>139</v>
      </c>
      <c r="B40" s="204">
        <v>1</v>
      </c>
      <c r="C40">
        <v>51.8</v>
      </c>
      <c r="D40" s="193">
        <f>AVERAGE(C40:C42)</f>
        <v>50.55</v>
      </c>
      <c r="E40">
        <v>64.47</v>
      </c>
    </row>
    <row r="41" spans="1:5" ht="18.75" customHeight="1" x14ac:dyDescent="0.45">
      <c r="A41" s="203" t="s">
        <v>139</v>
      </c>
      <c r="B41" s="204">
        <v>2</v>
      </c>
      <c r="C41">
        <v>49.3</v>
      </c>
      <c r="D41" s="193"/>
    </row>
    <row r="42" spans="1:5" ht="18.75" customHeight="1" x14ac:dyDescent="0.45">
      <c r="A42" s="203" t="s">
        <v>139</v>
      </c>
      <c r="B42" s="204">
        <v>3</v>
      </c>
      <c r="C42" s="192"/>
      <c r="D42" s="193"/>
    </row>
    <row r="43" spans="1:5" x14ac:dyDescent="0.45">
      <c r="A43" s="205" t="s">
        <v>140</v>
      </c>
      <c r="B43" s="206">
        <v>1</v>
      </c>
      <c r="C43">
        <v>27.8</v>
      </c>
      <c r="D43" s="193">
        <f t="shared" ref="D23:D46" si="0">AVERAGE(C43:C45)</f>
        <v>27.700000000000003</v>
      </c>
      <c r="E43">
        <v>32.234999999999999</v>
      </c>
    </row>
    <row r="44" spans="1:5" ht="14.65" customHeight="1" x14ac:dyDescent="0.45">
      <c r="A44" s="205" t="s">
        <v>140</v>
      </c>
      <c r="B44" s="206">
        <v>2</v>
      </c>
      <c r="C44">
        <v>27.6</v>
      </c>
      <c r="D44" s="193"/>
    </row>
    <row r="45" spans="1:5" x14ac:dyDescent="0.45">
      <c r="A45" s="205" t="s">
        <v>140</v>
      </c>
      <c r="B45" s="206">
        <v>3</v>
      </c>
      <c r="C45" s="192"/>
      <c r="D45" s="193"/>
    </row>
    <row r="46" spans="1:5" x14ac:dyDescent="0.45">
      <c r="A46" s="205" t="s">
        <v>140</v>
      </c>
      <c r="B46" s="206">
        <v>1</v>
      </c>
      <c r="C46">
        <v>0</v>
      </c>
      <c r="D46" s="193">
        <f t="shared" si="0"/>
        <v>0</v>
      </c>
      <c r="E46">
        <v>32.234999999999999</v>
      </c>
    </row>
    <row r="47" spans="1:5" x14ac:dyDescent="0.45">
      <c r="A47" s="205" t="s">
        <v>140</v>
      </c>
      <c r="B47" s="206">
        <v>2</v>
      </c>
      <c r="C47">
        <v>0</v>
      </c>
      <c r="D47" s="193"/>
    </row>
    <row r="48" spans="1:5" x14ac:dyDescent="0.45">
      <c r="A48" s="205" t="s">
        <v>140</v>
      </c>
      <c r="B48" s="206">
        <v>3</v>
      </c>
      <c r="C48" s="192"/>
      <c r="D48" s="193"/>
    </row>
    <row r="49" spans="1:6" x14ac:dyDescent="0.45">
      <c r="B49" s="154"/>
      <c r="C49" s="154"/>
      <c r="E49" s="154"/>
    </row>
    <row r="50" spans="1:6" x14ac:dyDescent="0.45">
      <c r="B50" s="154"/>
      <c r="C50" s="154"/>
      <c r="E50" s="154"/>
    </row>
    <row r="51" spans="1:6" ht="14.65" thickBot="1" x14ac:dyDescent="0.5">
      <c r="B51" s="154"/>
      <c r="C51" s="154"/>
      <c r="E51" s="154"/>
    </row>
    <row r="52" spans="1:6" ht="14.65" thickTop="1" x14ac:dyDescent="0.45">
      <c r="A52" s="194" t="s">
        <v>134</v>
      </c>
      <c r="B52" s="195"/>
      <c r="C52" s="195"/>
      <c r="D52" s="195"/>
      <c r="E52" s="195"/>
      <c r="F52" s="196"/>
    </row>
    <row r="53" spans="1:6" x14ac:dyDescent="0.45">
      <c r="A53" s="197"/>
      <c r="B53" s="198"/>
      <c r="C53" s="198"/>
      <c r="D53" s="198"/>
      <c r="E53" s="198"/>
      <c r="F53" s="199"/>
    </row>
    <row r="54" spans="1:6" x14ac:dyDescent="0.45">
      <c r="A54" s="197"/>
      <c r="B54" s="198"/>
      <c r="C54" s="198"/>
      <c r="D54" s="198"/>
      <c r="E54" s="198"/>
      <c r="F54" s="199"/>
    </row>
    <row r="55" spans="1:6" x14ac:dyDescent="0.45">
      <c r="A55" s="197"/>
      <c r="B55" s="198"/>
      <c r="C55" s="198"/>
      <c r="D55" s="198"/>
      <c r="E55" s="198"/>
      <c r="F55" s="199"/>
    </row>
    <row r="56" spans="1:6" x14ac:dyDescent="0.45">
      <c r="A56" s="197"/>
      <c r="B56" s="198"/>
      <c r="C56" s="198"/>
      <c r="D56" s="198"/>
      <c r="E56" s="198"/>
      <c r="F56" s="199"/>
    </row>
    <row r="57" spans="1:6" x14ac:dyDescent="0.45">
      <c r="A57" s="197"/>
      <c r="B57" s="198"/>
      <c r="C57" s="198"/>
      <c r="D57" s="198"/>
      <c r="E57" s="198"/>
      <c r="F57" s="199"/>
    </row>
    <row r="58" spans="1:6" ht="14.65" thickBot="1" x14ac:dyDescent="0.5">
      <c r="A58" s="200"/>
      <c r="B58" s="201"/>
      <c r="C58" s="201"/>
      <c r="D58" s="201"/>
      <c r="E58" s="201"/>
      <c r="F58" s="202"/>
    </row>
    <row r="59" spans="1:6" ht="14.65" thickTop="1" x14ac:dyDescent="0.45"/>
  </sheetData>
  <mergeCells count="8">
    <mergeCell ref="B13:F13"/>
    <mergeCell ref="A52:F58"/>
    <mergeCell ref="A1:K1"/>
    <mergeCell ref="B5:F5"/>
    <mergeCell ref="B7:F7"/>
    <mergeCell ref="B8:F8"/>
    <mergeCell ref="B9:F9"/>
    <mergeCell ref="B12:F12"/>
  </mergeCells>
  <phoneticPr fontId="3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103"/>
  <sheetViews>
    <sheetView workbookViewId="0">
      <selection activeCell="E22" sqref="E22"/>
    </sheetView>
  </sheetViews>
  <sheetFormatPr defaultRowHeight="14.25" x14ac:dyDescent="0.45"/>
  <cols>
    <col min="1" max="1" width="23.46484375" bestFit="1" customWidth="1"/>
    <col min="2" max="2" width="13.53125" bestFit="1" customWidth="1"/>
    <col min="3" max="3" width="10.53125" bestFit="1" customWidth="1"/>
    <col min="4" max="4" width="13.53125" bestFit="1" customWidth="1"/>
    <col min="5" max="5" width="12.53125" bestFit="1" customWidth="1"/>
    <col min="6" max="6" width="14.73046875" style="8" bestFit="1" customWidth="1"/>
    <col min="7" max="7" width="13.53125" bestFit="1" customWidth="1"/>
  </cols>
  <sheetData>
    <row r="1" spans="1:7" ht="18.75" customHeight="1" x14ac:dyDescent="0.45">
      <c r="A1" s="1" t="str">
        <f>"Verification of " &amp;B2&amp; " on " &amp;B3</f>
        <v>Verification of NT-proBNP on Vitros 5600</v>
      </c>
      <c r="C1" s="1"/>
      <c r="D1" s="1"/>
      <c r="E1" s="1"/>
      <c r="F1" s="2"/>
    </row>
    <row r="2" spans="1:7" ht="15.7" customHeight="1" x14ac:dyDescent="0.5">
      <c r="A2" s="3" t="s">
        <v>53</v>
      </c>
      <c r="B2" s="14" t="str">
        <f>'Method Comparison'!B2</f>
        <v>NT-proBNP</v>
      </c>
      <c r="C2" s="4"/>
      <c r="D2" s="4"/>
      <c r="E2" s="4"/>
      <c r="F2" s="5"/>
      <c r="G2" s="4"/>
    </row>
    <row r="3" spans="1:7" ht="18.75" customHeight="1" x14ac:dyDescent="0.45">
      <c r="A3" s="3" t="s">
        <v>2</v>
      </c>
      <c r="B3" s="4" t="str">
        <f>'Method Comparison'!B3</f>
        <v>Vitros 5600</v>
      </c>
      <c r="C3" s="4"/>
      <c r="D3" s="4"/>
      <c r="E3" s="4"/>
      <c r="F3" s="5"/>
      <c r="G3" s="4"/>
    </row>
    <row r="4" spans="1:7" ht="18.75" customHeight="1" x14ac:dyDescent="0.45">
      <c r="A4" s="3" t="s">
        <v>4</v>
      </c>
      <c r="B4" s="4">
        <f>'Method Comparison'!B4</f>
        <v>1290353</v>
      </c>
      <c r="C4" s="4"/>
      <c r="D4" s="4"/>
      <c r="E4" s="4"/>
      <c r="F4" s="5"/>
      <c r="G4" s="4"/>
    </row>
    <row r="5" spans="1:7" ht="18.75" customHeight="1" x14ac:dyDescent="0.45">
      <c r="A5" s="3" t="s">
        <v>5</v>
      </c>
      <c r="B5" s="144" t="str">
        <f>'Method Comparison'!B5:F5</f>
        <v>This method serves to bringing in-house BNP testing for heart failure assessments</v>
      </c>
      <c r="C5" s="145"/>
      <c r="D5" s="145"/>
      <c r="E5" s="145"/>
      <c r="F5" s="146"/>
      <c r="G5" s="147"/>
    </row>
    <row r="6" spans="1:7" ht="18.75" customHeight="1" x14ac:dyDescent="0.45">
      <c r="A6" s="3" t="s">
        <v>97</v>
      </c>
      <c r="B6" s="4"/>
      <c r="C6" s="4"/>
      <c r="D6" s="4"/>
      <c r="E6" s="4"/>
      <c r="F6" s="5"/>
      <c r="G6" s="4"/>
    </row>
    <row r="7" spans="1:7" ht="18.75" customHeight="1" x14ac:dyDescent="0.45">
      <c r="A7" s="3" t="s">
        <v>7</v>
      </c>
      <c r="B7" s="6" t="str">
        <f>'Method Comparison'!B7</f>
        <v>ng/L</v>
      </c>
      <c r="C7" s="6"/>
      <c r="D7" s="6"/>
      <c r="E7" s="4"/>
      <c r="F7" s="7"/>
      <c r="G7" s="6"/>
    </row>
    <row r="8" spans="1:7" ht="18.75" customHeight="1" x14ac:dyDescent="0.45">
      <c r="A8" s="1"/>
      <c r="B8" s="1"/>
      <c r="C8" s="1"/>
      <c r="D8" s="1"/>
      <c r="E8" s="1"/>
      <c r="F8" s="2"/>
    </row>
    <row r="9" spans="1:7" ht="18.75" customHeight="1" x14ac:dyDescent="0.45"/>
    <row r="10" spans="1:7" ht="18.75" customHeight="1" x14ac:dyDescent="0.45"/>
    <row r="11" spans="1:7" ht="18.75" customHeight="1" x14ac:dyDescent="0.45">
      <c r="A11" s="3" t="s">
        <v>106</v>
      </c>
      <c r="D11" s="6" t="s">
        <v>107</v>
      </c>
      <c r="E11" s="6"/>
      <c r="F11" s="7"/>
      <c r="G11" s="6"/>
    </row>
    <row r="12" spans="1:7" ht="18.75" customHeight="1" x14ac:dyDescent="0.45">
      <c r="A12" t="s">
        <v>108</v>
      </c>
      <c r="D12" s="6"/>
      <c r="E12" s="6"/>
      <c r="F12" s="7"/>
      <c r="G12" s="6"/>
    </row>
    <row r="13" spans="1:7" ht="18.75" customHeight="1" x14ac:dyDescent="0.45">
      <c r="A13" t="s">
        <v>109</v>
      </c>
      <c r="D13" s="6"/>
      <c r="E13" s="6"/>
      <c r="F13" s="7"/>
      <c r="G13" s="6"/>
    </row>
    <row r="14" spans="1:7" ht="18.75" customHeight="1" x14ac:dyDescent="0.45">
      <c r="A14" t="s">
        <v>110</v>
      </c>
      <c r="D14" s="6"/>
      <c r="E14" s="6"/>
      <c r="F14" s="7"/>
      <c r="G14" s="6"/>
    </row>
    <row r="15" spans="1:7" ht="18.75" customHeight="1" x14ac:dyDescent="0.45">
      <c r="A15" t="s">
        <v>111</v>
      </c>
      <c r="D15" s="6"/>
      <c r="E15" s="6"/>
      <c r="F15" s="7"/>
      <c r="G15" s="6"/>
    </row>
    <row r="16" spans="1:7" ht="18.75" customHeight="1" x14ac:dyDescent="0.45">
      <c r="A16" t="s">
        <v>112</v>
      </c>
      <c r="D16" s="6" t="s">
        <v>113</v>
      </c>
      <c r="E16" s="6"/>
      <c r="F16" s="7"/>
      <c r="G16" s="6"/>
    </row>
    <row r="17" spans="1:7" ht="18.75" customHeight="1" x14ac:dyDescent="0.45"/>
    <row r="18" spans="1:7" ht="18.75" customHeight="1" x14ac:dyDescent="0.45">
      <c r="A18" s="9" t="s">
        <v>114</v>
      </c>
      <c r="B18" s="148"/>
      <c r="C18" s="145"/>
      <c r="D18" s="145"/>
      <c r="E18" s="145"/>
      <c r="F18" s="146"/>
      <c r="G18" s="147"/>
    </row>
    <row r="19" spans="1:7" ht="18.75" customHeight="1" x14ac:dyDescent="0.45">
      <c r="A19" s="9" t="s">
        <v>115</v>
      </c>
      <c r="B19" s="148"/>
      <c r="C19" s="145"/>
      <c r="D19" s="145"/>
      <c r="E19" s="145"/>
      <c r="F19" s="146"/>
      <c r="G19" s="147"/>
    </row>
    <row r="20" spans="1:7" ht="18.75" customHeight="1" x14ac:dyDescent="0.45">
      <c r="A20" t="s">
        <v>116</v>
      </c>
      <c r="B20" s="148"/>
      <c r="C20" s="145"/>
      <c r="D20" s="145"/>
      <c r="E20" s="145"/>
      <c r="F20" s="146"/>
      <c r="G20" s="147"/>
    </row>
    <row r="21" spans="1:7" ht="18.75" customHeight="1" x14ac:dyDescent="0.45">
      <c r="A21" t="s">
        <v>117</v>
      </c>
      <c r="B21" s="148"/>
      <c r="C21" s="145"/>
      <c r="D21" s="145"/>
      <c r="E21" s="145"/>
      <c r="F21" s="146"/>
      <c r="G21" s="147"/>
    </row>
    <row r="22" spans="1:7" ht="18.75" customHeight="1" x14ac:dyDescent="0.45"/>
    <row r="23" spans="1:7" ht="18.75" customHeight="1" x14ac:dyDescent="0.45"/>
    <row r="24" spans="1:7" ht="18.75" customHeight="1" x14ac:dyDescent="0.45"/>
    <row r="25" spans="1:7" ht="18.75" customHeight="1" x14ac:dyDescent="0.45">
      <c r="A25" s="10" t="s">
        <v>118</v>
      </c>
      <c r="B25" s="10" t="s">
        <v>119</v>
      </c>
      <c r="C25" s="10" t="s">
        <v>120</v>
      </c>
      <c r="D25" s="10" t="s">
        <v>72</v>
      </c>
      <c r="E25" s="10" t="s">
        <v>121</v>
      </c>
      <c r="F25" s="11" t="s">
        <v>122</v>
      </c>
    </row>
    <row r="26" spans="1:7" ht="18.75" customHeight="1" x14ac:dyDescent="0.45">
      <c r="F26" s="11">
        <v>1</v>
      </c>
    </row>
    <row r="27" spans="1:7" ht="18.75" customHeight="1" x14ac:dyDescent="0.45">
      <c r="F27" s="11">
        <v>2</v>
      </c>
    </row>
    <row r="28" spans="1:7" ht="18.75" customHeight="1" x14ac:dyDescent="0.45">
      <c r="F28" s="11">
        <v>3</v>
      </c>
    </row>
    <row r="29" spans="1:7" ht="18.75" customHeight="1" x14ac:dyDescent="0.45">
      <c r="F29" s="11">
        <v>4</v>
      </c>
    </row>
    <row r="30" spans="1:7" ht="18.75" customHeight="1" x14ac:dyDescent="0.45">
      <c r="F30" s="11">
        <v>5</v>
      </c>
    </row>
    <row r="31" spans="1:7" ht="18.75" customHeight="1" x14ac:dyDescent="0.45">
      <c r="F31" s="11">
        <v>6</v>
      </c>
    </row>
    <row r="32" spans="1:7" ht="18.75" customHeight="1" x14ac:dyDescent="0.45">
      <c r="F32" s="11">
        <v>7</v>
      </c>
    </row>
    <row r="33" spans="6:6" ht="18.75" customHeight="1" x14ac:dyDescent="0.45">
      <c r="F33" s="11">
        <v>8</v>
      </c>
    </row>
    <row r="34" spans="6:6" ht="18.75" customHeight="1" x14ac:dyDescent="0.45">
      <c r="F34" s="11">
        <v>9</v>
      </c>
    </row>
    <row r="35" spans="6:6" ht="18.75" customHeight="1" x14ac:dyDescent="0.45">
      <c r="F35" s="11">
        <v>10</v>
      </c>
    </row>
    <row r="36" spans="6:6" ht="18.75" customHeight="1" x14ac:dyDescent="0.45">
      <c r="F36" s="11">
        <v>11</v>
      </c>
    </row>
    <row r="37" spans="6:6" ht="18.75" customHeight="1" x14ac:dyDescent="0.45">
      <c r="F37" s="11">
        <v>12</v>
      </c>
    </row>
    <row r="38" spans="6:6" ht="18.75" customHeight="1" x14ac:dyDescent="0.45">
      <c r="F38" s="11">
        <v>13</v>
      </c>
    </row>
    <row r="39" spans="6:6" ht="18.75" customHeight="1" x14ac:dyDescent="0.45">
      <c r="F39" s="11">
        <v>14</v>
      </c>
    </row>
    <row r="40" spans="6:6" ht="18.75" customHeight="1" x14ac:dyDescent="0.45">
      <c r="F40" s="11">
        <v>15</v>
      </c>
    </row>
    <row r="41" spans="6:6" ht="18.75" customHeight="1" x14ac:dyDescent="0.45">
      <c r="F41" s="11">
        <v>16</v>
      </c>
    </row>
    <row r="42" spans="6:6" ht="18.75" customHeight="1" x14ac:dyDescent="0.45">
      <c r="F42" s="11">
        <v>17</v>
      </c>
    </row>
    <row r="43" spans="6:6" ht="18.75" customHeight="1" x14ac:dyDescent="0.45">
      <c r="F43" s="11">
        <v>18</v>
      </c>
    </row>
    <row r="44" spans="6:6" ht="18.75" customHeight="1" x14ac:dyDescent="0.45">
      <c r="F44" s="11">
        <v>19</v>
      </c>
    </row>
    <row r="45" spans="6:6" ht="18.75" customHeight="1" x14ac:dyDescent="0.45">
      <c r="F45" s="11">
        <v>20</v>
      </c>
    </row>
    <row r="46" spans="6:6" ht="18.75" customHeight="1" x14ac:dyDescent="0.45">
      <c r="F46" s="11">
        <v>21</v>
      </c>
    </row>
    <row r="47" spans="6:6" ht="18.75" customHeight="1" x14ac:dyDescent="0.45">
      <c r="F47" s="11">
        <v>22</v>
      </c>
    </row>
    <row r="48" spans="6:6" ht="18.75" customHeight="1" x14ac:dyDescent="0.45">
      <c r="F48" s="11">
        <v>23</v>
      </c>
    </row>
    <row r="49" spans="6:6" ht="18.75" customHeight="1" x14ac:dyDescent="0.45">
      <c r="F49" s="11">
        <v>24</v>
      </c>
    </row>
    <row r="50" spans="6:6" ht="18.75" customHeight="1" x14ac:dyDescent="0.45">
      <c r="F50" s="11">
        <v>25</v>
      </c>
    </row>
    <row r="51" spans="6:6" ht="18.75" customHeight="1" x14ac:dyDescent="0.45">
      <c r="F51" s="11">
        <v>26</v>
      </c>
    </row>
    <row r="52" spans="6:6" ht="18.75" customHeight="1" x14ac:dyDescent="0.45">
      <c r="F52" s="11">
        <v>27</v>
      </c>
    </row>
    <row r="53" spans="6:6" ht="18.75" customHeight="1" x14ac:dyDescent="0.45">
      <c r="F53" s="11">
        <v>28</v>
      </c>
    </row>
    <row r="54" spans="6:6" ht="18.75" customHeight="1" x14ac:dyDescent="0.45">
      <c r="F54" s="11">
        <v>29</v>
      </c>
    </row>
    <row r="55" spans="6:6" ht="18.75" customHeight="1" x14ac:dyDescent="0.45">
      <c r="F55" s="11">
        <v>30</v>
      </c>
    </row>
    <row r="56" spans="6:6" ht="18.75" customHeight="1" x14ac:dyDescent="0.45">
      <c r="F56" s="11">
        <v>31</v>
      </c>
    </row>
    <row r="57" spans="6:6" ht="18.75" customHeight="1" x14ac:dyDescent="0.45">
      <c r="F57" s="11">
        <v>32</v>
      </c>
    </row>
    <row r="58" spans="6:6" ht="18.75" customHeight="1" x14ac:dyDescent="0.45">
      <c r="F58" s="11">
        <v>33</v>
      </c>
    </row>
    <row r="59" spans="6:6" ht="18.75" customHeight="1" x14ac:dyDescent="0.45">
      <c r="F59" s="11">
        <v>34</v>
      </c>
    </row>
    <row r="60" spans="6:6" ht="18.75" customHeight="1" x14ac:dyDescent="0.45">
      <c r="F60" s="11">
        <v>35</v>
      </c>
    </row>
    <row r="61" spans="6:6" ht="18.75" customHeight="1" x14ac:dyDescent="0.45">
      <c r="F61" s="11">
        <v>36</v>
      </c>
    </row>
    <row r="62" spans="6:6" ht="18.75" customHeight="1" x14ac:dyDescent="0.45">
      <c r="F62" s="11">
        <v>37</v>
      </c>
    </row>
    <row r="63" spans="6:6" ht="18.75" customHeight="1" x14ac:dyDescent="0.45">
      <c r="F63" s="11">
        <v>38</v>
      </c>
    </row>
    <row r="64" spans="6:6" ht="18.75" customHeight="1" x14ac:dyDescent="0.45">
      <c r="F64" s="11">
        <v>39</v>
      </c>
    </row>
    <row r="65" spans="6:6" ht="18.75" customHeight="1" x14ac:dyDescent="0.45">
      <c r="F65" s="11">
        <v>40</v>
      </c>
    </row>
    <row r="66" spans="6:6" ht="18.75" customHeight="1" x14ac:dyDescent="0.45">
      <c r="F66" s="11">
        <v>41</v>
      </c>
    </row>
    <row r="67" spans="6:6" ht="18.75" customHeight="1" x14ac:dyDescent="0.45">
      <c r="F67" s="11">
        <v>42</v>
      </c>
    </row>
    <row r="68" spans="6:6" ht="18.75" customHeight="1" x14ac:dyDescent="0.45">
      <c r="F68" s="11">
        <v>43</v>
      </c>
    </row>
    <row r="69" spans="6:6" ht="18.75" customHeight="1" x14ac:dyDescent="0.45">
      <c r="F69" s="11">
        <v>44</v>
      </c>
    </row>
    <row r="70" spans="6:6" ht="18.75" customHeight="1" x14ac:dyDescent="0.45">
      <c r="F70" s="11">
        <v>45</v>
      </c>
    </row>
    <row r="71" spans="6:6" ht="18.75" customHeight="1" x14ac:dyDescent="0.45">
      <c r="F71" s="11">
        <v>46</v>
      </c>
    </row>
    <row r="72" spans="6:6" ht="18.75" customHeight="1" x14ac:dyDescent="0.45">
      <c r="F72" s="11">
        <v>47</v>
      </c>
    </row>
    <row r="73" spans="6:6" ht="18.75" customHeight="1" x14ac:dyDescent="0.45">
      <c r="F73" s="11">
        <v>48</v>
      </c>
    </row>
    <row r="74" spans="6:6" ht="18.75" customHeight="1" x14ac:dyDescent="0.45">
      <c r="F74" s="11">
        <v>49</v>
      </c>
    </row>
    <row r="75" spans="6:6" ht="18.75" customHeight="1" x14ac:dyDescent="0.45">
      <c r="F75" s="11">
        <v>50</v>
      </c>
    </row>
    <row r="76" spans="6:6" ht="18.75" customHeight="1" x14ac:dyDescent="0.45">
      <c r="F76" s="11">
        <v>51</v>
      </c>
    </row>
    <row r="77" spans="6:6" ht="18.75" customHeight="1" x14ac:dyDescent="0.45">
      <c r="F77" s="11">
        <v>52</v>
      </c>
    </row>
    <row r="78" spans="6:6" ht="18.75" customHeight="1" x14ac:dyDescent="0.45">
      <c r="F78" s="11">
        <v>53</v>
      </c>
    </row>
    <row r="79" spans="6:6" ht="18.75" customHeight="1" x14ac:dyDescent="0.45">
      <c r="F79" s="11">
        <v>54</v>
      </c>
    </row>
    <row r="80" spans="6:6" ht="18.75" customHeight="1" x14ac:dyDescent="0.45">
      <c r="F80" s="11">
        <v>55</v>
      </c>
    </row>
    <row r="81" spans="6:6" ht="18.75" customHeight="1" x14ac:dyDescent="0.45">
      <c r="F81" s="11">
        <v>56</v>
      </c>
    </row>
    <row r="82" spans="6:6" ht="18.75" customHeight="1" x14ac:dyDescent="0.45">
      <c r="F82" s="11">
        <v>57</v>
      </c>
    </row>
    <row r="83" spans="6:6" ht="18.75" customHeight="1" x14ac:dyDescent="0.45">
      <c r="F83" s="11">
        <v>58</v>
      </c>
    </row>
    <row r="84" spans="6:6" ht="18.75" customHeight="1" x14ac:dyDescent="0.45">
      <c r="F84" s="11">
        <v>59</v>
      </c>
    </row>
    <row r="85" spans="6:6" ht="18.75" customHeight="1" x14ac:dyDescent="0.45">
      <c r="F85" s="11">
        <v>60</v>
      </c>
    </row>
    <row r="86" spans="6:6" ht="18.75" customHeight="1" x14ac:dyDescent="0.45">
      <c r="F86" s="11">
        <v>61</v>
      </c>
    </row>
    <row r="87" spans="6:6" ht="18.75" customHeight="1" x14ac:dyDescent="0.45">
      <c r="F87" s="11">
        <v>62</v>
      </c>
    </row>
    <row r="88" spans="6:6" ht="18.75" customHeight="1" x14ac:dyDescent="0.45">
      <c r="F88" s="11">
        <v>63</v>
      </c>
    </row>
    <row r="89" spans="6:6" ht="18.75" customHeight="1" x14ac:dyDescent="0.45">
      <c r="F89" s="11">
        <v>64</v>
      </c>
    </row>
    <row r="90" spans="6:6" ht="18.75" customHeight="1" x14ac:dyDescent="0.45">
      <c r="F90" s="11">
        <v>65</v>
      </c>
    </row>
    <row r="91" spans="6:6" ht="18.75" customHeight="1" x14ac:dyDescent="0.45">
      <c r="F91" s="11">
        <v>66</v>
      </c>
    </row>
    <row r="92" spans="6:6" ht="18.75" customHeight="1" x14ac:dyDescent="0.45">
      <c r="F92" s="11">
        <v>67</v>
      </c>
    </row>
    <row r="93" spans="6:6" ht="18.75" customHeight="1" x14ac:dyDescent="0.45">
      <c r="F93" s="11">
        <v>68</v>
      </c>
    </row>
    <row r="94" spans="6:6" ht="18.75" customHeight="1" x14ac:dyDescent="0.45">
      <c r="F94" s="11">
        <v>69</v>
      </c>
    </row>
    <row r="95" spans="6:6" ht="18.75" customHeight="1" x14ac:dyDescent="0.45">
      <c r="F95" s="11">
        <v>70</v>
      </c>
    </row>
    <row r="96" spans="6:6" ht="18.75" customHeight="1" x14ac:dyDescent="0.45">
      <c r="F96" s="11">
        <v>71</v>
      </c>
    </row>
    <row r="97" spans="6:6" ht="18.75" customHeight="1" x14ac:dyDescent="0.45">
      <c r="F97" s="11">
        <v>72</v>
      </c>
    </row>
    <row r="98" spans="6:6" ht="18.75" customHeight="1" x14ac:dyDescent="0.45">
      <c r="F98" s="11">
        <v>73</v>
      </c>
    </row>
    <row r="99" spans="6:6" ht="18.75" customHeight="1" x14ac:dyDescent="0.45">
      <c r="F99" s="11">
        <v>74</v>
      </c>
    </row>
    <row r="100" spans="6:6" ht="18.75" customHeight="1" x14ac:dyDescent="0.45">
      <c r="F100" s="11">
        <v>75</v>
      </c>
    </row>
    <row r="101" spans="6:6" ht="18.75" customHeight="1" x14ac:dyDescent="0.45">
      <c r="F101" s="11">
        <v>76</v>
      </c>
    </row>
    <row r="102" spans="6:6" ht="18.75" customHeight="1" x14ac:dyDescent="0.45">
      <c r="F102" s="11">
        <v>77</v>
      </c>
    </row>
    <row r="103" spans="6:6" ht="18.75" customHeight="1" x14ac:dyDescent="0.45">
      <c r="F103" s="11">
        <v>78</v>
      </c>
    </row>
  </sheetData>
  <mergeCells count="5">
    <mergeCell ref="B5:G5"/>
    <mergeCell ref="B18:G18"/>
    <mergeCell ref="B19:G19"/>
    <mergeCell ref="B20:G20"/>
    <mergeCell ref="B21:G2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2E5D40F3AF86429DFAF4D2BAE1F2D1" ma:contentTypeVersion="14" ma:contentTypeDescription="Create a new document." ma:contentTypeScope="" ma:versionID="5e8552706d04ee4a428544d7dae6f47f">
  <xsd:schema xmlns:xsd="http://www.w3.org/2001/XMLSchema" xmlns:xs="http://www.w3.org/2001/XMLSchema" xmlns:p="http://schemas.microsoft.com/office/2006/metadata/properties" xmlns:ns2="5ec60b57-ad57-4e6d-83c0-cddcc53eea37" xmlns:ns3="e40eda36-64da-46a6-ab91-9963a204a6df" targetNamespace="http://schemas.microsoft.com/office/2006/metadata/properties" ma:root="true" ma:fieldsID="ce80ddd88a3340f0a4b01ca8ab8daccc" ns2:_="" ns3:_="">
    <xsd:import namespace="5ec60b57-ad57-4e6d-83c0-cddcc53eea37"/>
    <xsd:import namespace="e40eda36-64da-46a6-ab91-9963a204a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60b57-ad57-4e6d-83c0-cddcc53ee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9d3417-7881-4243-8a9e-702811a1ce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eda36-64da-46a6-ab91-9963a204a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742f9f-838b-4c45-a2dd-b7e6a2f13be7}" ma:internalName="TaxCatchAll" ma:showField="CatchAllData" ma:web="e40eda36-64da-46a6-ab91-9963a204a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c60b57-ad57-4e6d-83c0-cddcc53eea37">
      <Terms xmlns="http://schemas.microsoft.com/office/infopath/2007/PartnerControls"/>
    </lcf76f155ced4ddcb4097134ff3c332f>
    <TaxCatchAll xmlns="e40eda36-64da-46a6-ab91-9963a204a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3A3271-BA65-4BF2-BA39-83FAFB589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c60b57-ad57-4e6d-83c0-cddcc53eea37"/>
    <ds:schemaRef ds:uri="e40eda36-64da-46a6-ab91-9963a204a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047748-C33B-4FC4-BD3A-865561852AAF}">
  <ds:schemaRefs>
    <ds:schemaRef ds:uri="http://schemas.microsoft.com/office/2006/metadata/properties"/>
    <ds:schemaRef ds:uri="http://schemas.microsoft.com/office/infopath/2007/PartnerControls"/>
    <ds:schemaRef ds:uri="5ec60b57-ad57-4e6d-83c0-cddcc53eea37"/>
    <ds:schemaRef ds:uri="e40eda36-64da-46a6-ab91-9963a204a6df"/>
  </ds:schemaRefs>
</ds:datastoreItem>
</file>

<file path=customXml/itemProps3.xml><?xml version="1.0" encoding="utf-8"?>
<ds:datastoreItem xmlns:ds="http://schemas.openxmlformats.org/officeDocument/2006/customXml" ds:itemID="{1AF406F4-2FE1-442B-8D7E-A70660A7F9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 Comparison</vt:lpstr>
      <vt:lpstr>Precision</vt:lpstr>
      <vt:lpstr>Linearity, Sr</vt:lpstr>
      <vt:lpstr>Reference Interval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Rajeevan Selvaratnam</dc:creator>
  <cp:keywords/>
  <dc:description/>
  <cp:lastModifiedBy>Selvaratnam, Rajeevan</cp:lastModifiedBy>
  <cp:revision/>
  <dcterms:created xsi:type="dcterms:W3CDTF">2025-09-17T02:26:35Z</dcterms:created>
  <dcterms:modified xsi:type="dcterms:W3CDTF">2026-09-11T17:52:50Z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0x010100C92E5D40F3AF86429DFAF4D2BAE1F2D1</vt:lpwstr>
  </property>
  <property fmtid="{D5CDD505-2E9C-101B-9397-08002B2CF9AE}" pid="3" name="MediaServiceImageTags">
    <vt:lpwstr/>
  </property>
</Properties>
</file>