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universityhealthnetwork-my.sharepoint.com/personal/rajeevan_selvaratnam_uhn_ca/Documents/R Scripts/MethodComp/Digoxin - Atellica - 2026/"/>
    </mc:Choice>
  </mc:AlternateContent>
  <xr:revisionPtr revIDLastSave="55" documentId="11_E503A55C2958050C830D1BCC420413BDDDDA414B" xr6:coauthVersionLast="47" xr6:coauthVersionMax="47" xr10:uidLastSave="{B005D0D7-0CC1-4414-90C5-685A7F52B149}"/>
  <bookViews>
    <workbookView xWindow="-98" yWindow="-98" windowWidth="24721" windowHeight="15826" activeTab="1" xr2:uid="{00000000-000D-0000-FFFF-FFFF00000000}"/>
  </bookViews>
  <sheets>
    <sheet name="Method Summary" sheetId="12" r:id="rId1"/>
    <sheet name="Accuracy" sheetId="1" r:id="rId2"/>
    <sheet name="Precision" sheetId="2" r:id="rId3"/>
    <sheet name="Linearity, Sr" sheetId="13" r:id="rId4"/>
    <sheet name="Linearity, Ur" sheetId="7" r:id="rId5"/>
    <sheet name="Reference Interval" sheetId="10" r:id="rId6"/>
    <sheet name="Carryover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2" l="1"/>
  <c r="B20" i="2"/>
  <c r="B19" i="2"/>
  <c r="D28" i="13"/>
  <c r="D25" i="13"/>
  <c r="D22" i="13"/>
  <c r="D19" i="13"/>
  <c r="D16" i="13"/>
  <c r="B2" i="13"/>
  <c r="AA138" i="2"/>
  <c r="AA137" i="2"/>
  <c r="AA136" i="2"/>
  <c r="AA135" i="2"/>
  <c r="AA134" i="2"/>
  <c r="AA133" i="2"/>
  <c r="AA132" i="2"/>
  <c r="AA131" i="2"/>
  <c r="AA130" i="2"/>
  <c r="AA129" i="2"/>
  <c r="AA128" i="2"/>
  <c r="AA127" i="2"/>
  <c r="AA126" i="2"/>
  <c r="AA125" i="2"/>
  <c r="AA124" i="2"/>
  <c r="AA123" i="2"/>
  <c r="AA122" i="2"/>
  <c r="AA121" i="2"/>
  <c r="AA120" i="2"/>
  <c r="AA119" i="2"/>
  <c r="AA118" i="2"/>
  <c r="AA117" i="2"/>
  <c r="AA116" i="2"/>
  <c r="AA115" i="2"/>
  <c r="AA114" i="2"/>
  <c r="AA113" i="2"/>
  <c r="AA112" i="2"/>
  <c r="AA111" i="2"/>
  <c r="AA110" i="2"/>
  <c r="AA109" i="2"/>
  <c r="AA108" i="2"/>
  <c r="AA107" i="2"/>
  <c r="AA106" i="2"/>
  <c r="AA105" i="2"/>
  <c r="AA104" i="2"/>
  <c r="AA103" i="2"/>
  <c r="AA102" i="2"/>
  <c r="AA101" i="2"/>
  <c r="AA100" i="2"/>
  <c r="AA99" i="2"/>
  <c r="AA98" i="2"/>
  <c r="AA97" i="2"/>
  <c r="AA96" i="2"/>
  <c r="AA95" i="2"/>
  <c r="AA94" i="2"/>
  <c r="AA93" i="2"/>
  <c r="AA92" i="2"/>
  <c r="AA91" i="2"/>
  <c r="AA90" i="2"/>
  <c r="AA89" i="2"/>
  <c r="AA88" i="2"/>
  <c r="AA87" i="2"/>
  <c r="AA86" i="2"/>
  <c r="AA85" i="2"/>
  <c r="AA84" i="2"/>
  <c r="AA83" i="2"/>
  <c r="AA82" i="2"/>
  <c r="AA81" i="2"/>
  <c r="AA8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G2" i="1"/>
  <c r="B7" i="6"/>
  <c r="B6" i="6"/>
  <c r="B4" i="6"/>
  <c r="B3" i="6"/>
  <c r="B2" i="6"/>
  <c r="C2" i="1"/>
  <c r="E2" i="1"/>
  <c r="B3" i="10"/>
  <c r="B2" i="7"/>
  <c r="B2" i="2"/>
  <c r="B3" i="2"/>
  <c r="B2" i="10"/>
  <c r="B2" i="1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B136" i="2"/>
  <c r="B137" i="2"/>
  <c r="B138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D28" i="7" l="1"/>
  <c r="D25" i="7"/>
  <c r="D22" i="7"/>
  <c r="D19" i="7"/>
  <c r="D16" i="7"/>
  <c r="A1" i="6" l="1"/>
</calcChain>
</file>

<file path=xl/sharedStrings.xml><?xml version="1.0" encoding="utf-8"?>
<sst xmlns="http://schemas.openxmlformats.org/spreadsheetml/2006/main" count="323" uniqueCount="147">
  <si>
    <t>Analytes:</t>
  </si>
  <si>
    <t>Instrument:</t>
  </si>
  <si>
    <t>Instrument S/N:</t>
  </si>
  <si>
    <t>Purpose:</t>
  </si>
  <si>
    <t>Matrix:</t>
  </si>
  <si>
    <t>Unit of Measure:</t>
  </si>
  <si>
    <t>1. Transference via Method Equivalence</t>
  </si>
  <si>
    <t>2. Verification by 20 - 40 Ostensibily Health Individuals</t>
  </si>
  <si>
    <t>3. Therapeutic interval from clinical input</t>
  </si>
  <si>
    <t>4. Therapeutic interval from manufacturer</t>
  </si>
  <si>
    <t>5. Other (Explain)</t>
  </si>
  <si>
    <t>Current RI:</t>
  </si>
  <si>
    <t>Current Source of RI:</t>
  </si>
  <si>
    <t>Proposed Source of RI:</t>
  </si>
  <si>
    <t>Healthy Individual #</t>
  </si>
  <si>
    <t>Age</t>
  </si>
  <si>
    <t>Result</t>
  </si>
  <si>
    <t>Bacrode</t>
  </si>
  <si>
    <t>Package Insert AMI:</t>
  </si>
  <si>
    <t>Extended AMI (from insert):</t>
  </si>
  <si>
    <t>Name of Linearity Material:</t>
  </si>
  <si>
    <t>Lot# :</t>
  </si>
  <si>
    <t>Company (e.g. CAP, Maine):</t>
  </si>
  <si>
    <t>If no linearity material is available commercially, one can use a high patient pool.</t>
  </si>
  <si>
    <t>Levels</t>
  </si>
  <si>
    <t>Replicate</t>
  </si>
  <si>
    <t>Measured Result</t>
  </si>
  <si>
    <t>Average</t>
  </si>
  <si>
    <t>Expected Range</t>
  </si>
  <si>
    <t>Level 1</t>
  </si>
  <si>
    <t>Level 2</t>
  </si>
  <si>
    <t>Level 3</t>
  </si>
  <si>
    <t>Serum</t>
  </si>
  <si>
    <t>Sample (Urine/serum) Carryover Instructions</t>
  </si>
  <si>
    <r>
      <t>c.</t>
    </r>
    <r>
      <rPr>
        <sz val="7"/>
        <color rgb="FF000000"/>
        <rFont val="Times New Roman"/>
        <family val="2"/>
      </rPr>
      <t xml:space="preserve">      </t>
    </r>
    <r>
      <rPr>
        <sz val="11"/>
        <color rgb="FF000000"/>
        <rFont val="Calibri"/>
        <family val="2"/>
        <scheme val="minor"/>
      </rPr>
      <t>Load the samples in the order listed below and record results as indicated below.</t>
    </r>
  </si>
  <si>
    <t>#</t>
  </si>
  <si>
    <t>Sample</t>
  </si>
  <si>
    <t>Low-Low</t>
  </si>
  <si>
    <t>High-Low</t>
  </si>
  <si>
    <t>L</t>
  </si>
  <si>
    <t>H</t>
  </si>
  <si>
    <t>Mean</t>
  </si>
  <si>
    <t>SD</t>
  </si>
  <si>
    <t>Carry-Over</t>
  </si>
  <si>
    <t>Sample ID</t>
  </si>
  <si>
    <t>Instructions for Precision Studies</t>
  </si>
  <si>
    <t>Reagent Lot #:</t>
  </si>
  <si>
    <t>Calibrator Lot #:</t>
  </si>
  <si>
    <t>QC Lot Level 1</t>
  </si>
  <si>
    <t>QC Lot Level 2</t>
  </si>
  <si>
    <t>QC Lot Level 3</t>
  </si>
  <si>
    <t>a.</t>
  </si>
  <si>
    <t>For each level of QC please input the data in the tables below:</t>
  </si>
  <si>
    <t>b.</t>
  </si>
  <si>
    <t xml:space="preserve">For each day, run each level of QC across 2 runs, each run in duplicate. </t>
  </si>
  <si>
    <t>One in the morning (Run 1) with duplicate measures &amp; and another in PM (Run 2).</t>
  </si>
  <si>
    <t xml:space="preserve">Note: </t>
  </si>
  <si>
    <t>Day</t>
  </si>
  <si>
    <t>Run</t>
  </si>
  <si>
    <t>Date</t>
  </si>
  <si>
    <t>QC Lot#</t>
  </si>
  <si>
    <t>Matrix</t>
  </si>
  <si>
    <t>Analyte:</t>
  </si>
  <si>
    <t>The complete evaluation consists of:</t>
  </si>
  <si>
    <t>Instructions</t>
  </si>
  <si>
    <t>Please ensure the instrument is ready to report in SI units, regardless of how final reporting will be done.</t>
  </si>
  <si>
    <t>Ensure QC has passed for the day and instrument is in working order.</t>
  </si>
  <si>
    <t>c.</t>
  </si>
  <si>
    <t>Run equal number of patient samples over the course of 5 days on the Test Method and Reference Method</t>
  </si>
  <si>
    <t>d.</t>
  </si>
  <si>
    <t>Jot down the results table below. Note if matrix is serum (S) or urine (U)</t>
  </si>
  <si>
    <t>Note:</t>
  </si>
  <si>
    <t>If calibrator or reagent lot number changes during course of study, please make note of this.</t>
  </si>
  <si>
    <t>Sample No.</t>
  </si>
  <si>
    <t>Tube Type (e.g. SST/PST)</t>
  </si>
  <si>
    <t>S</t>
  </si>
  <si>
    <t>QC Lot Level 4</t>
  </si>
  <si>
    <t>Reporting:</t>
  </si>
  <si>
    <t>Patient Results:</t>
  </si>
  <si>
    <t>QC:</t>
  </si>
  <si>
    <t>1 decimal (x.x)</t>
  </si>
  <si>
    <t>1) Precision Studies over 20 days, Running Each Level Duplicates, Across 2 Runs; Total 80 points</t>
  </si>
  <si>
    <t>2) Accuracy by Method Comparison ( 20 - 40 samples minimum)</t>
  </si>
  <si>
    <t>Comments</t>
  </si>
  <si>
    <t>Please note calibrator or QC lot number changes or other concerns in the comment column</t>
  </si>
  <si>
    <t>Measurand:</t>
  </si>
  <si>
    <t>Collection Container(s):</t>
  </si>
  <si>
    <t>Manufacturer:</t>
  </si>
  <si>
    <r>
      <t xml:space="preserve">Primary Reference Method:
</t>
    </r>
    <r>
      <rPr>
        <sz val="11"/>
        <color rgb="FF002060"/>
        <rFont val="Aptos Narrow"/>
        <family val="2"/>
      </rPr>
      <t>(This is the current method that you are verifying/validating the new method against)</t>
    </r>
  </si>
  <si>
    <t>Verification Protocol and Data Collection Template for:</t>
  </si>
  <si>
    <t>Accuracy by Method Comparison Study</t>
  </si>
  <si>
    <t>Matrix (U/S/P/W)</t>
  </si>
  <si>
    <t>New Method:</t>
  </si>
  <si>
    <t>Current Method:</t>
  </si>
  <si>
    <r>
      <t xml:space="preserve">New Test Method:
</t>
    </r>
    <r>
      <rPr>
        <sz val="11"/>
        <color rgb="FF002060"/>
        <rFont val="Aptos Narrow"/>
        <family val="2"/>
      </rPr>
      <t>(Analyte + Instrument)</t>
    </r>
  </si>
  <si>
    <r>
      <rPr>
        <b/>
        <sz val="11"/>
        <color rgb="FF006100"/>
        <rFont val="Calibri"/>
        <family val="2"/>
        <scheme val="minor"/>
      </rPr>
      <t>Pass Criteria:</t>
    </r>
    <r>
      <rPr>
        <sz val="11"/>
        <color rgb="FF006100"/>
        <rFont val="Calibri"/>
        <family val="2"/>
        <scheme val="minor"/>
      </rPr>
      <t xml:space="preserve"> Use orthoglonal or non-parametric regression model to assess the correlation. Pearson R &gt; 0.90 and median bias should be within allowable performance limits (APL).  
Allowable performance limits from:  Review - Proficiency Testing Precision Goals and Allowable Performance Limits for Chemistry and Hematology. Revision date: 2022-05-10. </t>
    </r>
  </si>
  <si>
    <t>Precision Studies with QC Materials</t>
  </si>
  <si>
    <t>Linearity Study</t>
  </si>
  <si>
    <t>Level 4</t>
  </si>
  <si>
    <t>Level 5</t>
  </si>
  <si>
    <t>Instructions:</t>
  </si>
  <si>
    <t>Follow manufacturer instructions. Generally expect 3 replicates per level.</t>
  </si>
  <si>
    <t>If available, provide the expected mean and/or range from the manufacturer</t>
  </si>
  <si>
    <t>NOTE:</t>
  </si>
  <si>
    <t xml:space="preserve"> If no linearity material is commercially available, one can use a high patient pool with dilution studies.</t>
  </si>
  <si>
    <t>Reference Interval Verification</t>
  </si>
  <si>
    <t>Refernece Interval (RI) Verification Method:</t>
  </si>
  <si>
    <t>Proposed RI:</t>
  </si>
  <si>
    <r>
      <rPr>
        <b/>
        <sz val="11"/>
        <color rgb="FF006100"/>
        <rFont val="Calibri"/>
        <family val="2"/>
        <scheme val="minor"/>
      </rPr>
      <t xml:space="preserve">Pass Criteria: </t>
    </r>
    <r>
      <rPr>
        <sz val="11"/>
        <color rgb="FF006100"/>
        <rFont val="Calibri"/>
        <family val="2"/>
        <scheme val="minor"/>
      </rPr>
      <t xml:space="preserve">Use ordinary least square regression, orthoglonal or non-parametric regression model to assess the correlation. Pearson R &gt; 0.90 and expected differences should be within allowable performance limits (APL). 
Analytical Measurement Interval (AMI) verified is the minimum and maximum range of levels examined + error associated at the lower and upper limits.
Allowable performance limits from:  Review - Proficiency Testing Precision Goals and Allowable Performance Limits for Chemistry and Hematology. Revision date: 2022-05-10. </t>
    </r>
  </si>
  <si>
    <t>3) Linearity (Verification of Analytical Measurement Interval, See Linearity Tab)</t>
  </si>
  <si>
    <t>4) On recommendation from biochemist - Reference Interval Verification (See Corresponding Tab)</t>
  </si>
  <si>
    <t xml:space="preserve">5) </t>
  </si>
  <si>
    <t>6)</t>
  </si>
  <si>
    <t>7)</t>
  </si>
  <si>
    <t xml:space="preserve">8) </t>
  </si>
  <si>
    <r>
      <rPr>
        <b/>
        <sz val="11"/>
        <color rgb="FF006100"/>
        <rFont val="Calibri"/>
        <family val="2"/>
        <scheme val="minor"/>
      </rPr>
      <t xml:space="preserve">Pass Criteria: </t>
    </r>
    <r>
      <rPr>
        <sz val="11"/>
        <color rgb="FF006100"/>
        <rFont val="Calibri"/>
        <family val="2"/>
        <scheme val="minor"/>
      </rPr>
      <t xml:space="preserve">At least 90% of the reference individuals are within the proposed reference limits in the absence of method equivalence. 
</t>
    </r>
  </si>
  <si>
    <t>Hospital Site:</t>
  </si>
  <si>
    <t>Date Submitted:</t>
  </si>
  <si>
    <t>Additional studies (if any) include the following:</t>
  </si>
  <si>
    <t>Creatinine</t>
  </si>
  <si>
    <t>Siemens</t>
  </si>
  <si>
    <t>Serum, lithium heparin plasma, 
dipotassium EDTA plasma, sodium 
heparin plasma, urine</t>
  </si>
  <si>
    <t>Urine</t>
  </si>
  <si>
    <t>umol/L</t>
  </si>
  <si>
    <t>Whole numbers</t>
  </si>
  <si>
    <t>Atellica CI</t>
  </si>
  <si>
    <t>U</t>
  </si>
  <si>
    <t>Urine and Serum</t>
  </si>
  <si>
    <t>Level 1 - Serum</t>
  </si>
  <si>
    <t>Level 2 - Serum</t>
  </si>
  <si>
    <t>Level 1 - Urine</t>
  </si>
  <si>
    <r>
      <rPr>
        <b/>
        <sz val="12"/>
        <color rgb="FF006100"/>
        <rFont val="Calibri"/>
        <family val="2"/>
        <scheme val="minor"/>
      </rPr>
      <t>Pass Criteria:</t>
    </r>
    <r>
      <rPr>
        <sz val="12"/>
        <color rgb="FF006100"/>
        <rFont val="Calibri"/>
        <family val="2"/>
        <scheme val="minor"/>
      </rPr>
      <t xml:space="preserve"> Total CV or SD less than, or equal to precision goals from </t>
    </r>
    <r>
      <rPr>
        <i/>
        <sz val="12"/>
        <color rgb="FF006100"/>
        <rFont val="Calibri"/>
        <family val="2"/>
        <scheme val="minor"/>
      </rPr>
      <t>Review - Proficiency Testing Precision Goals and Allowable Performance Limits for Chemistry and Hematology. Revision date: 2022-05-10.</t>
    </r>
  </si>
  <si>
    <t>Level 2 - Urine</t>
  </si>
  <si>
    <t>Note: Urine creatinine maybe converted to mmol/L.</t>
  </si>
  <si>
    <r>
      <t>a.</t>
    </r>
    <r>
      <rPr>
        <sz val="7"/>
        <color rgb="FF000000"/>
        <rFont val="Times New Roman"/>
        <family val="2"/>
      </rPr>
      <t xml:space="preserve">      </t>
    </r>
    <r>
      <rPr>
        <sz val="11"/>
        <color rgb="FF000000"/>
        <rFont val="Calibri"/>
        <family val="2"/>
        <scheme val="minor"/>
      </rPr>
      <t>Prepare High Pool (ideally urine sample).</t>
    </r>
  </si>
  <si>
    <r>
      <t>b.</t>
    </r>
    <r>
      <rPr>
        <sz val="7"/>
        <color rgb="FF000000"/>
        <rFont val="Times New Roman"/>
        <family val="2"/>
      </rPr>
      <t xml:space="preserve">      </t>
    </r>
    <r>
      <rPr>
        <sz val="11"/>
        <color rgb="FF000000"/>
        <rFont val="Calibri"/>
        <family val="2"/>
        <scheme val="minor"/>
      </rPr>
      <t xml:space="preserve">Prepare Low </t>
    </r>
    <r>
      <rPr>
        <b/>
        <sz val="11"/>
        <color rgb="FFFF0000"/>
        <rFont val="Calibri"/>
        <family val="2"/>
        <scheme val="minor"/>
      </rPr>
      <t>sample</t>
    </r>
    <r>
      <rPr>
        <sz val="11"/>
        <color rgb="FF000000"/>
        <rFont val="Calibri"/>
        <family val="2"/>
        <scheme val="minor"/>
      </rPr>
      <t xml:space="preserve"> Pool (ideal serum matrix &lt;110 umol/L), this will be called sampled L.</t>
    </r>
  </si>
  <si>
    <t>Creatinine2 Atellica CI</t>
  </si>
  <si>
    <t>New Method</t>
  </si>
  <si>
    <t>Current Method</t>
  </si>
  <si>
    <t>Ensure the lower end of the AMI is set to 0</t>
  </si>
  <si>
    <t>Please use 40 (20 serum + 20 urine) samples that span the measurement interval (AMI)</t>
  </si>
  <si>
    <t>Gender (M/F)</t>
  </si>
  <si>
    <t>Other ID</t>
  </si>
  <si>
    <t>Performed by (MLT):</t>
  </si>
  <si>
    <t>Expected Result</t>
  </si>
  <si>
    <t>New Method Information:</t>
  </si>
  <si>
    <t>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</si>
</sst>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63" x14ac:knownFonts="1">
    <font>
      <sz val="11"/>
      <color theme="1"/>
      <name val="Calibri"/>
      <family val="2"/>
      <scheme val="minor"/>
    </font>
    <font>
      <b/>
      <sz val="11"/>
      <color rgb="FF00B050"/>
      <name val="Aptos Narrow"/>
      <family val="2"/>
    </font>
    <font>
      <b/>
      <sz val="11"/>
      <color rgb="FF000000"/>
      <name val="Aptos Narrow"/>
      <family val="2"/>
    </font>
    <font>
      <b/>
      <sz val="12"/>
      <color rgb="FF196B24"/>
      <name val="Aptos Narrow"/>
      <family val="2"/>
    </font>
    <font>
      <sz val="11"/>
      <color rgb="FF3F3F76"/>
      <name val="Aptos Narrow"/>
      <family val="2"/>
    </font>
    <font>
      <sz val="11"/>
      <color rgb="FFFF0000"/>
      <name val="Aptos Narrow"/>
      <family val="2"/>
    </font>
    <font>
      <sz val="11"/>
      <color theme="1"/>
      <name val="Calibri"/>
      <family val="2"/>
    </font>
    <font>
      <b/>
      <sz val="11"/>
      <color rgb="FF3F3F76"/>
      <name val="Aptos Narrow"/>
      <family val="2"/>
    </font>
    <font>
      <b/>
      <sz val="11"/>
      <color theme="1"/>
      <name val="Aptos Narrow"/>
      <family val="2"/>
    </font>
    <font>
      <b/>
      <sz val="11"/>
      <color rgb="FFFF0000"/>
      <name val="Aptos Narrow"/>
      <family val="2"/>
    </font>
    <font>
      <b/>
      <sz val="10"/>
      <color rgb="FFFF0000"/>
      <name val="Aptos Narrow"/>
      <family val="2"/>
    </font>
    <font>
      <sz val="10"/>
      <color rgb="FFFF0000"/>
      <name val="Aptos Narrow"/>
      <family val="2"/>
    </font>
    <font>
      <i/>
      <sz val="11"/>
      <color theme="1"/>
      <name val="Calibri Light"/>
      <family val="2"/>
    </font>
    <font>
      <sz val="11"/>
      <color rgb="FF000000"/>
      <name val="Calibri"/>
      <family val="2"/>
    </font>
    <font>
      <sz val="11"/>
      <color rgb="FF78206E"/>
      <name val="Aptos Narrow"/>
      <family val="2"/>
    </font>
    <font>
      <sz val="11"/>
      <color rgb="FF3B7D23"/>
      <name val="Aptos Narrow"/>
      <family val="2"/>
    </font>
    <font>
      <sz val="11"/>
      <color rgb="FF104862"/>
      <name val="Aptos Narrow"/>
      <family val="2"/>
    </font>
    <font>
      <sz val="10"/>
      <color rgb="FF000000"/>
      <name val="Aptos Narrow"/>
      <family val="2"/>
    </font>
    <font>
      <sz val="7"/>
      <color rgb="FF000000"/>
      <name val="Times New Roman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000000"/>
      <name val="Aptos Narrow"/>
      <family val="2"/>
    </font>
    <font>
      <sz val="12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002060"/>
      <name val="Aptos Narrow"/>
      <family val="2"/>
    </font>
    <font>
      <b/>
      <sz val="12"/>
      <color rgb="FF002060"/>
      <name val="Aptos Narrow"/>
      <family val="2"/>
    </font>
    <font>
      <b/>
      <sz val="12"/>
      <name val="Aptos Narrow"/>
      <family val="2"/>
    </font>
    <font>
      <sz val="12"/>
      <name val="Aptos Narrow"/>
      <family val="2"/>
    </font>
    <font>
      <b/>
      <sz val="12"/>
      <color rgb="FF3F3F76"/>
      <name val="Calibri"/>
      <family val="2"/>
      <scheme val="minor"/>
    </font>
    <font>
      <sz val="11"/>
      <color rgb="FF002060"/>
      <name val="Aptos Narrow"/>
      <family val="2"/>
    </font>
    <font>
      <b/>
      <sz val="22"/>
      <color rgb="FF002060"/>
      <name val="Aptos Narrow"/>
      <family val="2"/>
    </font>
    <font>
      <b/>
      <sz val="26"/>
      <color rgb="FF002060"/>
      <name val="Aptos Narrow"/>
      <family val="2"/>
    </font>
    <font>
      <sz val="12"/>
      <color theme="3" tint="9.9978637043366805E-2"/>
      <name val="Aptos"/>
      <family val="2"/>
    </font>
    <font>
      <sz val="12"/>
      <color rgb="FF3F3F76"/>
      <name val="Aptos Narrow"/>
      <family val="2"/>
    </font>
    <font>
      <sz val="14"/>
      <name val="Aptos Narrow"/>
      <family val="2"/>
    </font>
    <font>
      <sz val="14"/>
      <color rgb="FF3F3F76"/>
      <name val="Aptos Narrow"/>
      <family val="2"/>
    </font>
    <font>
      <sz val="14"/>
      <color rgb="FF3F3F76"/>
      <name val="Calibri"/>
      <family val="2"/>
      <scheme val="minor"/>
    </font>
    <font>
      <b/>
      <sz val="14"/>
      <name val="Aptos Narrow"/>
      <family val="2"/>
    </font>
    <font>
      <b/>
      <sz val="14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00B050"/>
      <name val="Calibri"/>
      <family val="2"/>
    </font>
    <font>
      <sz val="12"/>
      <color rgb="FF006100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11"/>
      <name val="Aptos Narrow"/>
      <family val="2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Aptos Narrow"/>
      <family val="2"/>
    </font>
    <font>
      <sz val="11"/>
      <name val="Aptos Narrow"/>
      <family val="2"/>
    </font>
    <font>
      <sz val="10"/>
      <name val="Aptos Narrow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4"/>
      <color rgb="FF3F3F3F"/>
      <name val="Aptos Display"/>
      <family val="2"/>
    </font>
    <font>
      <sz val="14"/>
      <color rgb="FF3F3F3F"/>
      <name val="Aptos Display"/>
      <family val="2"/>
    </font>
    <font>
      <sz val="14"/>
      <color theme="1"/>
      <name val="Aptos Display"/>
      <family val="2"/>
    </font>
    <font>
      <sz val="14"/>
      <color theme="1"/>
      <name val="Calibri"/>
      <family val="2"/>
      <scheme val="minor"/>
    </font>
    <font>
      <i/>
      <sz val="12"/>
      <color rgb="FF006100"/>
      <name val="Calibri"/>
      <family val="2"/>
      <scheme val="minor"/>
    </font>
    <font>
      <b/>
      <sz val="14"/>
      <color rgb="FF3F3F76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D9F2D0"/>
      </patternFill>
    </fill>
    <fill>
      <patternFill patternType="solid">
        <fgColor rgb="FFF2CFEE"/>
      </patternFill>
    </fill>
    <fill>
      <patternFill patternType="solid">
        <fgColor rgb="FFC1E5F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00B0F0"/>
        <bgColor indexed="64"/>
      </patternFill>
    </fill>
  </fills>
  <borders count="102"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7F7F7F"/>
      </bottom>
      <diagonal/>
    </border>
    <border>
      <left/>
      <right style="medium">
        <color indexed="64"/>
      </right>
      <top style="medium">
        <color indexed="64"/>
      </top>
      <bottom style="thin">
        <color rgb="FF7F7F7F"/>
      </bottom>
      <diagonal/>
    </border>
    <border>
      <left/>
      <right/>
      <top style="thin">
        <color rgb="FF7F7F7F"/>
      </top>
      <bottom style="medium">
        <color indexed="64"/>
      </bottom>
      <diagonal/>
    </border>
    <border>
      <left/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 style="thin">
        <color rgb="FF3F3F3F"/>
      </top>
      <bottom style="thin">
        <color rgb="FF3F3F3F"/>
      </bottom>
      <diagonal/>
    </border>
    <border>
      <left style="thick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ck">
        <color indexed="64"/>
      </top>
      <bottom style="thin">
        <color theme="0" tint="-0.499984740745262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theme="0" tint="-0.499984740745262"/>
      </left>
      <right/>
      <top style="thick">
        <color indexed="64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ck">
        <color indexed="64"/>
      </top>
      <bottom style="thin">
        <color theme="0" tint="-0.499984740745262"/>
      </bottom>
      <diagonal/>
    </border>
    <border>
      <left style="thick">
        <color indexed="64"/>
      </left>
      <right style="thick">
        <color indexed="64"/>
      </right>
      <top style="thin">
        <color theme="0" tint="-0.499984740745262"/>
      </top>
      <bottom style="thick">
        <color indexed="64"/>
      </bottom>
      <diagonal/>
    </border>
    <border>
      <left style="thick">
        <color indexed="64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indexed="64"/>
      </left>
      <right style="thick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ck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ck">
        <color indexed="64"/>
      </right>
      <top style="thin">
        <color rgb="FF3F3F3F"/>
      </top>
      <bottom style="thin">
        <color rgb="FF3F3F3F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rgb="FF7F7F7F"/>
      </right>
      <top style="thick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ck">
        <color indexed="64"/>
      </top>
      <bottom style="thin">
        <color rgb="FF7F7F7F"/>
      </bottom>
      <diagonal/>
    </border>
    <border>
      <left style="thin">
        <color rgb="FF7F7F7F"/>
      </left>
      <right style="thick">
        <color indexed="64"/>
      </right>
      <top style="thick">
        <color indexed="64"/>
      </top>
      <bottom style="thin">
        <color rgb="FF7F7F7F"/>
      </bottom>
      <diagonal/>
    </border>
    <border>
      <left style="thick">
        <color indexed="64"/>
      </left>
      <right style="thin">
        <color rgb="FF7F7F7F"/>
      </right>
      <top style="thin">
        <color rgb="FF7F7F7F"/>
      </top>
      <bottom style="thick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ck">
        <color indexed="64"/>
      </bottom>
      <diagonal/>
    </border>
    <border>
      <left style="thin">
        <color rgb="FF7F7F7F"/>
      </left>
      <right style="thick">
        <color indexed="64"/>
      </right>
      <top style="thin">
        <color rgb="FF7F7F7F"/>
      </top>
      <bottom style="thick">
        <color indexed="64"/>
      </bottom>
      <diagonal/>
    </border>
    <border>
      <left style="thick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indexed="64"/>
      </right>
      <top style="thin">
        <color rgb="FF7F7F7F"/>
      </top>
      <bottom style="thin">
        <color rgb="FF7F7F7F"/>
      </bottom>
      <diagonal/>
    </border>
    <border>
      <left style="thick">
        <color indexed="64"/>
      </left>
      <right style="thin">
        <color rgb="FFC6C6C6"/>
      </right>
      <top style="thin">
        <color rgb="FF7F7F7F"/>
      </top>
      <bottom style="thin">
        <color rgb="FF7F7F7F"/>
      </bottom>
      <diagonal/>
    </border>
    <border>
      <left style="thick">
        <color indexed="64"/>
      </left>
      <right style="thin">
        <color rgb="FFC6C6C6"/>
      </right>
      <top style="thin">
        <color rgb="FF7F7F7F"/>
      </top>
      <bottom style="thick">
        <color indexed="64"/>
      </bottom>
      <diagonal/>
    </border>
    <border>
      <left/>
      <right/>
      <top style="thick">
        <color theme="3" tint="0.499984740745262"/>
      </top>
      <bottom/>
      <diagonal/>
    </border>
    <border>
      <left/>
      <right/>
      <top style="thin">
        <color theme="0" tint="-0.499984740745262"/>
      </top>
      <bottom style="thick">
        <color theme="3" tint="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ck">
        <color theme="3" tint="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rgb="FF3F3F3F"/>
      </top>
      <bottom style="thick">
        <color theme="3" tint="0.499984740745262"/>
      </bottom>
      <diagonal/>
    </border>
    <border>
      <left style="medium">
        <color theme="0" tint="-0.499984740745262"/>
      </left>
      <right style="thick">
        <color indexed="64"/>
      </right>
      <top style="thick">
        <color theme="3" tint="0.499984740745262"/>
      </top>
      <bottom style="thin">
        <color rgb="FF3F3F3F"/>
      </bottom>
      <diagonal/>
    </border>
    <border>
      <left/>
      <right/>
      <top/>
      <bottom style="thick">
        <color theme="3" tint="0.499984740745262"/>
      </bottom>
      <diagonal/>
    </border>
    <border>
      <left style="thick">
        <color indexed="64"/>
      </left>
      <right/>
      <top/>
      <bottom style="thin">
        <color theme="0" tint="-0.499984740745262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theme="0" tint="-0.499984740745262"/>
      </bottom>
      <diagonal/>
    </border>
    <border>
      <left/>
      <right style="thick">
        <color theme="3" tint="0.499984740745262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theme="3" tint="0.499984740745262"/>
      </left>
      <right style="thin">
        <color indexed="64"/>
      </right>
      <top style="medium">
        <color indexed="64"/>
      </top>
      <bottom style="thick">
        <color theme="3" tint="0.499984740745262"/>
      </bottom>
      <diagonal/>
    </border>
    <border>
      <left style="thin">
        <color indexed="64"/>
      </left>
      <right style="thick">
        <color theme="3" tint="0.499984740745262"/>
      </right>
      <top style="thick">
        <color theme="3" tint="0.499984740745262"/>
      </top>
      <bottom style="medium">
        <color indexed="64"/>
      </bottom>
      <diagonal/>
    </border>
    <border>
      <left style="thin">
        <color indexed="64"/>
      </left>
      <right style="thick">
        <color theme="3" tint="0.499984740745262"/>
      </right>
      <top style="medium">
        <color indexed="64"/>
      </top>
      <bottom style="thick">
        <color theme="3" tint="0.499984740745262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ck">
        <color theme="3" tint="0.499984740745262"/>
      </bottom>
      <diagonal/>
    </border>
    <border>
      <left style="mediumDashed">
        <color indexed="64"/>
      </left>
      <right style="thin">
        <color indexed="64"/>
      </right>
      <top style="thick">
        <color theme="3" tint="0.499984740745262"/>
      </top>
      <bottom style="medium">
        <color indexed="64"/>
      </bottom>
      <diagonal/>
    </border>
    <border>
      <left style="mediumDashed">
        <color indexed="64"/>
      </left>
      <right style="thin">
        <color indexed="64"/>
      </right>
      <top style="medium">
        <color indexed="64"/>
      </top>
      <bottom style="thick">
        <color theme="3" tint="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rgb="FF4D93D9"/>
      </top>
      <bottom/>
      <diagonal/>
    </border>
    <border>
      <left style="thick">
        <color rgb="FF4D93D9"/>
      </left>
      <right/>
      <top style="thick">
        <color theme="3" tint="0.499984740745262"/>
      </top>
      <bottom/>
      <diagonal/>
    </border>
    <border>
      <left/>
      <right/>
      <top style="thick">
        <color theme="3" tint="0.499984740745262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23" fillId="2" borderId="2" applyNumberFormat="0" applyAlignment="0" applyProtection="0"/>
    <xf numFmtId="0" fontId="25" fillId="8" borderId="0" applyNumberFormat="0" applyBorder="0" applyAlignment="0" applyProtection="0"/>
    <xf numFmtId="0" fontId="26" fillId="9" borderId="34" applyNumberFormat="0" applyAlignment="0" applyProtection="0"/>
  </cellStyleXfs>
  <cellXfs count="297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3" fontId="4" fillId="2" borderId="2" xfId="0" applyNumberFormat="1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3" fontId="7" fillId="2" borderId="2" xfId="0" applyNumberFormat="1" applyFont="1" applyFill="1" applyBorder="1" applyAlignment="1">
      <alignment horizontal="left"/>
    </xf>
    <xf numFmtId="3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right"/>
    </xf>
    <xf numFmtId="3" fontId="6" fillId="0" borderId="1" xfId="0" applyNumberFormat="1" applyFont="1" applyBorder="1" applyAlignment="1">
      <alignment horizontal="right"/>
    </xf>
    <xf numFmtId="3" fontId="3" fillId="2" borderId="2" xfId="0" applyNumberFormat="1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164" fontId="6" fillId="0" borderId="1" xfId="0" applyNumberFormat="1" applyFont="1" applyBorder="1" applyAlignment="1">
      <alignment horizontal="right"/>
    </xf>
    <xf numFmtId="3" fontId="0" fillId="0" borderId="0" xfId="0" applyNumberFormat="1"/>
    <xf numFmtId="4" fontId="6" fillId="0" borderId="1" xfId="0" applyNumberFormat="1" applyFont="1" applyBorder="1" applyAlignment="1">
      <alignment horizontal="right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0" fillId="0" borderId="0" xfId="0" applyAlignment="1">
      <alignment wrapText="1"/>
    </xf>
    <xf numFmtId="3" fontId="13" fillId="0" borderId="5" xfId="0" applyNumberFormat="1" applyFont="1" applyBorder="1" applyAlignment="1">
      <alignment horizontal="left" wrapText="1"/>
    </xf>
    <xf numFmtId="0" fontId="13" fillId="0" borderId="6" xfId="0" applyFont="1" applyBorder="1" applyAlignment="1">
      <alignment horizontal="left" wrapText="1"/>
    </xf>
    <xf numFmtId="3" fontId="13" fillId="0" borderId="7" xfId="0" applyNumberFormat="1" applyFont="1" applyBorder="1" applyAlignment="1">
      <alignment horizontal="right" wrapText="1"/>
    </xf>
    <xf numFmtId="0" fontId="13" fillId="0" borderId="8" xfId="0" applyFont="1" applyBorder="1" applyAlignment="1">
      <alignment horizontal="left" wrapText="1"/>
    </xf>
    <xf numFmtId="3" fontId="13" fillId="0" borderId="8" xfId="0" applyNumberFormat="1" applyFont="1" applyBorder="1" applyAlignment="1">
      <alignment horizontal="right" wrapText="1"/>
    </xf>
    <xf numFmtId="3" fontId="13" fillId="0" borderId="7" xfId="0" applyNumberFormat="1" applyFont="1" applyBorder="1" applyAlignment="1">
      <alignment horizontal="left" wrapText="1"/>
    </xf>
    <xf numFmtId="3" fontId="13" fillId="0" borderId="8" xfId="0" applyNumberFormat="1" applyFont="1" applyBorder="1" applyAlignment="1">
      <alignment horizontal="left" wrapText="1"/>
    </xf>
    <xf numFmtId="14" fontId="1" fillId="0" borderId="1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14" fontId="4" fillId="2" borderId="2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right"/>
    </xf>
    <xf numFmtId="14" fontId="0" fillId="0" borderId="0" xfId="0" applyNumberFormat="1"/>
    <xf numFmtId="3" fontId="2" fillId="0" borderId="1" xfId="0" applyNumberFormat="1" applyFont="1" applyBorder="1" applyAlignment="1">
      <alignment horizontal="left"/>
    </xf>
    <xf numFmtId="3" fontId="17" fillId="0" borderId="1" xfId="0" applyNumberFormat="1" applyFont="1" applyBorder="1" applyAlignment="1">
      <alignment horizontal="left" wrapText="1"/>
    </xf>
    <xf numFmtId="0" fontId="0" fillId="0" borderId="0" xfId="0" applyAlignment="1">
      <alignment horizontal="center" wrapText="1"/>
    </xf>
    <xf numFmtId="3" fontId="0" fillId="0" borderId="0" xfId="0" applyNumberFormat="1" applyAlignment="1">
      <alignment horizontal="center" wrapText="1"/>
    </xf>
    <xf numFmtId="0" fontId="6" fillId="0" borderId="1" xfId="0" applyFont="1" applyBorder="1" applyAlignment="1">
      <alignment horizontal="left" wrapText="1"/>
    </xf>
    <xf numFmtId="3" fontId="6" fillId="0" borderId="1" xfId="0" applyNumberFormat="1" applyFont="1" applyBorder="1" applyAlignment="1">
      <alignment horizontal="center" wrapText="1"/>
    </xf>
    <xf numFmtId="3" fontId="6" fillId="0" borderId="1" xfId="0" applyNumberFormat="1" applyFont="1" applyBorder="1" applyAlignment="1">
      <alignment horizontal="left" wrapText="1"/>
    </xf>
    <xf numFmtId="0" fontId="22" fillId="0" borderId="0" xfId="0" applyFont="1"/>
    <xf numFmtId="3" fontId="21" fillId="0" borderId="1" xfId="0" applyNumberFormat="1" applyFont="1" applyBorder="1" applyAlignment="1">
      <alignment horizontal="left"/>
    </xf>
    <xf numFmtId="3" fontId="22" fillId="0" borderId="0" xfId="0" applyNumberFormat="1" applyFont="1" applyAlignment="1">
      <alignment horizontal="right"/>
    </xf>
    <xf numFmtId="0" fontId="22" fillId="0" borderId="0" xfId="0" applyFont="1" applyAlignment="1">
      <alignment wrapText="1"/>
    </xf>
    <xf numFmtId="0" fontId="22" fillId="0" borderId="0" xfId="0" applyFont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3" fontId="21" fillId="0" borderId="1" xfId="0" applyNumberFormat="1" applyFont="1" applyBorder="1" applyAlignment="1">
      <alignment horizontal="left" vertical="center"/>
    </xf>
    <xf numFmtId="3" fontId="21" fillId="0" borderId="1" xfId="0" applyNumberFormat="1" applyFont="1" applyBorder="1"/>
    <xf numFmtId="3" fontId="21" fillId="0" borderId="1" xfId="0" applyNumberFormat="1" applyFont="1" applyBorder="1" applyAlignment="1">
      <alignment vertical="center"/>
    </xf>
    <xf numFmtId="3" fontId="21" fillId="0" borderId="1" xfId="0" applyNumberFormat="1" applyFont="1" applyBorder="1" applyAlignment="1">
      <alignment vertical="top"/>
    </xf>
    <xf numFmtId="3" fontId="2" fillId="0" borderId="1" xfId="0" applyNumberFormat="1" applyFont="1" applyBorder="1"/>
    <xf numFmtId="3" fontId="0" fillId="0" borderId="0" xfId="0" applyNumberFormat="1" applyAlignment="1">
      <alignment wrapText="1"/>
    </xf>
    <xf numFmtId="3" fontId="24" fillId="0" borderId="1" xfId="0" applyNumberFormat="1" applyFont="1" applyBorder="1" applyAlignment="1">
      <alignment horizontal="left"/>
    </xf>
    <xf numFmtId="3" fontId="4" fillId="2" borderId="14" xfId="0" applyNumberFormat="1" applyFont="1" applyFill="1" applyBorder="1" applyAlignment="1">
      <alignment horizontal="left"/>
    </xf>
    <xf numFmtId="0" fontId="4" fillId="2" borderId="15" xfId="0" applyFont="1" applyFill="1" applyBorder="1" applyAlignment="1">
      <alignment horizontal="left"/>
    </xf>
    <xf numFmtId="3" fontId="7" fillId="2" borderId="19" xfId="0" applyNumberFormat="1" applyFont="1" applyFill="1" applyBorder="1" applyAlignment="1">
      <alignment horizontal="left"/>
    </xf>
    <xf numFmtId="3" fontId="7" fillId="2" borderId="20" xfId="0" applyNumberFormat="1" applyFont="1" applyFill="1" applyBorder="1" applyAlignment="1">
      <alignment horizontal="left"/>
    </xf>
    <xf numFmtId="0" fontId="7" fillId="2" borderId="17" xfId="0" applyFont="1" applyFill="1" applyBorder="1" applyAlignment="1">
      <alignment horizontal="left"/>
    </xf>
    <xf numFmtId="0" fontId="7" fillId="2" borderId="21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left"/>
    </xf>
    <xf numFmtId="0" fontId="7" fillId="2" borderId="19" xfId="0" applyFont="1" applyFill="1" applyBorder="1" applyAlignment="1">
      <alignment horizontal="left"/>
    </xf>
    <xf numFmtId="0" fontId="7" fillId="2" borderId="20" xfId="0" applyFont="1" applyFill="1" applyBorder="1" applyAlignment="1">
      <alignment horizontal="left"/>
    </xf>
    <xf numFmtId="0" fontId="4" fillId="2" borderId="20" xfId="0" applyFont="1" applyFill="1" applyBorder="1" applyAlignment="1">
      <alignment horizontal="left"/>
    </xf>
    <xf numFmtId="0" fontId="7" fillId="2" borderId="13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left"/>
    </xf>
    <xf numFmtId="3" fontId="7" fillId="2" borderId="14" xfId="0" applyNumberFormat="1" applyFont="1" applyFill="1" applyBorder="1" applyAlignment="1">
      <alignment horizontal="left"/>
    </xf>
    <xf numFmtId="0" fontId="7" fillId="2" borderId="15" xfId="0" applyFont="1" applyFill="1" applyBorder="1" applyAlignment="1">
      <alignment horizontal="left"/>
    </xf>
    <xf numFmtId="0" fontId="7" fillId="2" borderId="16" xfId="0" applyFont="1" applyFill="1" applyBorder="1" applyAlignment="1">
      <alignment horizontal="left"/>
    </xf>
    <xf numFmtId="3" fontId="19" fillId="0" borderId="6" xfId="0" applyNumberFormat="1" applyFont="1" applyBorder="1" applyAlignment="1">
      <alignment horizontal="left" wrapText="1"/>
    </xf>
    <xf numFmtId="3" fontId="4" fillId="2" borderId="13" xfId="0" applyNumberFormat="1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center"/>
    </xf>
    <xf numFmtId="3" fontId="40" fillId="2" borderId="1" xfId="0" applyNumberFormat="1" applyFont="1" applyFill="1" applyBorder="1" applyAlignment="1">
      <alignment horizontal="left" vertical="center"/>
    </xf>
    <xf numFmtId="0" fontId="23" fillId="2" borderId="1" xfId="1" applyBorder="1"/>
    <xf numFmtId="3" fontId="38" fillId="2" borderId="36" xfId="0" applyNumberFormat="1" applyFont="1" applyFill="1" applyBorder="1" applyAlignment="1">
      <alignment horizontal="left"/>
    </xf>
    <xf numFmtId="0" fontId="38" fillId="2" borderId="36" xfId="0" applyFont="1" applyFill="1" applyBorder="1" applyAlignment="1">
      <alignment horizontal="left"/>
    </xf>
    <xf numFmtId="3" fontId="38" fillId="2" borderId="36" xfId="0" applyNumberFormat="1" applyFont="1" applyFill="1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0" fillId="0" borderId="1" xfId="0" applyBorder="1"/>
    <xf numFmtId="0" fontId="23" fillId="2" borderId="38" xfId="1" applyBorder="1"/>
    <xf numFmtId="0" fontId="23" fillId="2" borderId="40" xfId="1" applyBorder="1"/>
    <xf numFmtId="3" fontId="38" fillId="2" borderId="39" xfId="0" applyNumberFormat="1" applyFont="1" applyFill="1" applyBorder="1" applyAlignment="1">
      <alignment horizontal="left"/>
    </xf>
    <xf numFmtId="3" fontId="40" fillId="2" borderId="44" xfId="0" applyNumberFormat="1" applyFont="1" applyFill="1" applyBorder="1" applyAlignment="1">
      <alignment horizontal="left"/>
    </xf>
    <xf numFmtId="3" fontId="37" fillId="2" borderId="42" xfId="0" applyNumberFormat="1" applyFont="1" applyFill="1" applyBorder="1" applyAlignment="1">
      <alignment horizontal="left"/>
    </xf>
    <xf numFmtId="3" fontId="40" fillId="2" borderId="47" xfId="0" applyNumberFormat="1" applyFont="1" applyFill="1" applyBorder="1" applyAlignment="1">
      <alignment horizontal="left"/>
    </xf>
    <xf numFmtId="0" fontId="23" fillId="2" borderId="48" xfId="1" applyBorder="1"/>
    <xf numFmtId="3" fontId="38" fillId="2" borderId="49" xfId="0" applyNumberFormat="1" applyFont="1" applyFill="1" applyBorder="1" applyAlignment="1">
      <alignment horizontal="left"/>
    </xf>
    <xf numFmtId="0" fontId="23" fillId="2" borderId="47" xfId="1" applyBorder="1"/>
    <xf numFmtId="3" fontId="39" fillId="2" borderId="49" xfId="1" applyNumberFormat="1" applyFont="1" applyBorder="1" applyAlignment="1">
      <alignment horizontal="left"/>
    </xf>
    <xf numFmtId="3" fontId="39" fillId="2" borderId="49" xfId="1" applyNumberFormat="1" applyFont="1" applyBorder="1" applyAlignment="1">
      <alignment horizontal="right"/>
    </xf>
    <xf numFmtId="3" fontId="41" fillId="2" borderId="50" xfId="1" applyNumberFormat="1" applyFont="1" applyBorder="1" applyAlignment="1">
      <alignment horizontal="left"/>
    </xf>
    <xf numFmtId="15" fontId="0" fillId="0" borderId="0" xfId="0" applyNumberFormat="1" applyAlignment="1">
      <alignment horizontal="right" vertical="top"/>
    </xf>
    <xf numFmtId="0" fontId="41" fillId="2" borderId="52" xfId="1" applyFont="1" applyBorder="1" applyAlignment="1">
      <alignment horizontal="left" vertical="top" wrapText="1"/>
    </xf>
    <xf numFmtId="3" fontId="40" fillId="2" borderId="53" xfId="0" applyNumberFormat="1" applyFont="1" applyFill="1" applyBorder="1" applyAlignment="1">
      <alignment horizontal="left"/>
    </xf>
    <xf numFmtId="3" fontId="41" fillId="2" borderId="49" xfId="1" applyNumberFormat="1" applyFont="1" applyBorder="1" applyAlignment="1">
      <alignment horizontal="left"/>
    </xf>
    <xf numFmtId="0" fontId="27" fillId="0" borderId="1" xfId="0" applyFont="1" applyBorder="1" applyAlignment="1">
      <alignment horizontal="left" wrapText="1"/>
    </xf>
    <xf numFmtId="3" fontId="7" fillId="2" borderId="61" xfId="0" applyNumberFormat="1" applyFont="1" applyFill="1" applyBorder="1" applyAlignment="1">
      <alignment horizontal="left"/>
    </xf>
    <xf numFmtId="3" fontId="4" fillId="2" borderId="62" xfId="0" applyNumberFormat="1" applyFont="1" applyFill="1" applyBorder="1" applyAlignment="1">
      <alignment horizontal="left"/>
    </xf>
    <xf numFmtId="14" fontId="4" fillId="2" borderId="62" xfId="0" applyNumberFormat="1" applyFont="1" applyFill="1" applyBorder="1" applyAlignment="1">
      <alignment horizontal="left"/>
    </xf>
    <xf numFmtId="3" fontId="7" fillId="2" borderId="64" xfId="0" applyNumberFormat="1" applyFont="1" applyFill="1" applyBorder="1" applyAlignment="1">
      <alignment horizontal="left"/>
    </xf>
    <xf numFmtId="3" fontId="7" fillId="2" borderId="65" xfId="0" applyNumberFormat="1" applyFont="1" applyFill="1" applyBorder="1" applyAlignment="1">
      <alignment horizontal="left"/>
    </xf>
    <xf numFmtId="14" fontId="4" fillId="2" borderId="65" xfId="0" applyNumberFormat="1" applyFont="1" applyFill="1" applyBorder="1" applyAlignment="1">
      <alignment horizontal="left"/>
    </xf>
    <xf numFmtId="3" fontId="28" fillId="0" borderId="1" xfId="0" applyNumberFormat="1" applyFont="1" applyBorder="1" applyAlignment="1">
      <alignment horizontal="left"/>
    </xf>
    <xf numFmtId="3" fontId="22" fillId="0" borderId="0" xfId="0" applyNumberFormat="1" applyFont="1"/>
    <xf numFmtId="0" fontId="24" fillId="0" borderId="1" xfId="0" applyFont="1" applyBorder="1" applyAlignment="1">
      <alignment horizontal="right"/>
    </xf>
    <xf numFmtId="3" fontId="43" fillId="0" borderId="1" xfId="0" applyNumberFormat="1" applyFont="1" applyBorder="1" applyAlignment="1">
      <alignment horizontal="left"/>
    </xf>
    <xf numFmtId="3" fontId="4" fillId="2" borderId="63" xfId="0" applyNumberFormat="1" applyFont="1" applyFill="1" applyBorder="1" applyAlignment="1">
      <alignment horizontal="left"/>
    </xf>
    <xf numFmtId="3" fontId="4" fillId="2" borderId="66" xfId="0" applyNumberFormat="1" applyFont="1" applyFill="1" applyBorder="1" applyAlignment="1">
      <alignment horizontal="left"/>
    </xf>
    <xf numFmtId="3" fontId="4" fillId="2" borderId="61" xfId="0" applyNumberFormat="1" applyFont="1" applyFill="1" applyBorder="1" applyAlignment="1">
      <alignment horizontal="left"/>
    </xf>
    <xf numFmtId="14" fontId="4" fillId="2" borderId="63" xfId="0" applyNumberFormat="1" applyFont="1" applyFill="1" applyBorder="1" applyAlignment="1">
      <alignment horizontal="left"/>
    </xf>
    <xf numFmtId="3" fontId="4" fillId="2" borderId="67" xfId="0" applyNumberFormat="1" applyFont="1" applyFill="1" applyBorder="1" applyAlignment="1">
      <alignment horizontal="right"/>
    </xf>
    <xf numFmtId="14" fontId="4" fillId="2" borderId="68" xfId="0" applyNumberFormat="1" applyFont="1" applyFill="1" applyBorder="1" applyAlignment="1">
      <alignment horizontal="left"/>
    </xf>
    <xf numFmtId="3" fontId="14" fillId="4" borderId="69" xfId="0" applyNumberFormat="1" applyFont="1" applyFill="1" applyBorder="1" applyAlignment="1">
      <alignment horizontal="right"/>
    </xf>
    <xf numFmtId="3" fontId="15" fillId="3" borderId="69" xfId="0" applyNumberFormat="1" applyFont="1" applyFill="1" applyBorder="1" applyAlignment="1">
      <alignment horizontal="right"/>
    </xf>
    <xf numFmtId="3" fontId="16" fillId="5" borderId="69" xfId="0" applyNumberFormat="1" applyFont="1" applyFill="1" applyBorder="1" applyAlignment="1">
      <alignment horizontal="right"/>
    </xf>
    <xf numFmtId="3" fontId="4" fillId="2" borderId="65" xfId="0" applyNumberFormat="1" applyFont="1" applyFill="1" applyBorder="1" applyAlignment="1">
      <alignment horizontal="left"/>
    </xf>
    <xf numFmtId="14" fontId="4" fillId="2" borderId="66" xfId="0" applyNumberFormat="1" applyFont="1" applyFill="1" applyBorder="1" applyAlignment="1">
      <alignment horizontal="left"/>
    </xf>
    <xf numFmtId="3" fontId="44" fillId="0" borderId="0" xfId="0" applyNumberFormat="1" applyFont="1"/>
    <xf numFmtId="3" fontId="31" fillId="2" borderId="29" xfId="1" applyNumberFormat="1" applyFont="1" applyBorder="1" applyAlignment="1">
      <alignment horizontal="center" vertical="center"/>
    </xf>
    <xf numFmtId="3" fontId="31" fillId="2" borderId="30" xfId="1" applyNumberFormat="1" applyFont="1" applyBorder="1" applyAlignment="1">
      <alignment horizontal="center" vertical="center"/>
    </xf>
    <xf numFmtId="14" fontId="31" fillId="2" borderId="30" xfId="1" applyNumberFormat="1" applyFont="1" applyBorder="1" applyAlignment="1">
      <alignment horizontal="center" vertical="center"/>
    </xf>
    <xf numFmtId="3" fontId="31" fillId="2" borderId="31" xfId="1" applyNumberFormat="1" applyFont="1" applyBorder="1" applyAlignment="1">
      <alignment horizontal="center" vertical="center"/>
    </xf>
    <xf numFmtId="3" fontId="43" fillId="6" borderId="22" xfId="0" applyNumberFormat="1" applyFont="1" applyFill="1" applyBorder="1" applyAlignment="1">
      <alignment horizontal="center" vertical="center"/>
    </xf>
    <xf numFmtId="3" fontId="43" fillId="6" borderId="12" xfId="0" applyNumberFormat="1" applyFont="1" applyFill="1" applyBorder="1" applyAlignment="1">
      <alignment horizontal="center" vertical="center"/>
    </xf>
    <xf numFmtId="14" fontId="43" fillId="6" borderId="12" xfId="0" applyNumberFormat="1" applyFont="1" applyFill="1" applyBorder="1" applyAlignment="1">
      <alignment horizontal="center" vertical="center"/>
    </xf>
    <xf numFmtId="0" fontId="43" fillId="6" borderId="32" xfId="0" applyFont="1" applyFill="1" applyBorder="1" applyAlignment="1">
      <alignment horizontal="center" vertical="center"/>
    </xf>
    <xf numFmtId="3" fontId="43" fillId="7" borderId="22" xfId="0" applyNumberFormat="1" applyFont="1" applyFill="1" applyBorder="1" applyAlignment="1">
      <alignment horizontal="center" vertical="center"/>
    </xf>
    <xf numFmtId="3" fontId="43" fillId="0" borderId="12" xfId="0" applyNumberFormat="1" applyFont="1" applyBorder="1" applyAlignment="1">
      <alignment horizontal="center" vertical="center"/>
    </xf>
    <xf numFmtId="14" fontId="43" fillId="0" borderId="12" xfId="0" applyNumberFormat="1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3" fontId="45" fillId="6" borderId="22" xfId="0" applyNumberFormat="1" applyFont="1" applyFill="1" applyBorder="1" applyAlignment="1">
      <alignment horizontal="center" vertical="center"/>
    </xf>
    <xf numFmtId="3" fontId="45" fillId="7" borderId="22" xfId="0" applyNumberFormat="1" applyFont="1" applyFill="1" applyBorder="1" applyAlignment="1">
      <alignment horizontal="center" vertical="center"/>
    </xf>
    <xf numFmtId="3" fontId="43" fillId="7" borderId="23" xfId="0" applyNumberFormat="1" applyFont="1" applyFill="1" applyBorder="1" applyAlignment="1">
      <alignment horizontal="center" vertical="center"/>
    </xf>
    <xf numFmtId="3" fontId="43" fillId="0" borderId="24" xfId="0" applyNumberFormat="1" applyFont="1" applyBorder="1" applyAlignment="1">
      <alignment horizontal="center" vertical="center"/>
    </xf>
    <xf numFmtId="14" fontId="43" fillId="0" borderId="24" xfId="0" applyNumberFormat="1" applyFont="1" applyBorder="1" applyAlignment="1">
      <alignment horizontal="center" vertical="center"/>
    </xf>
    <xf numFmtId="0" fontId="43" fillId="0" borderId="33" xfId="0" applyFont="1" applyBorder="1" applyAlignment="1">
      <alignment horizontal="center" vertical="center"/>
    </xf>
    <xf numFmtId="3" fontId="16" fillId="10" borderId="70" xfId="0" applyNumberFormat="1" applyFont="1" applyFill="1" applyBorder="1" applyAlignment="1">
      <alignment horizontal="right"/>
    </xf>
    <xf numFmtId="0" fontId="27" fillId="0" borderId="1" xfId="0" applyFont="1" applyBorder="1" applyAlignment="1">
      <alignment horizontal="right"/>
    </xf>
    <xf numFmtId="3" fontId="0" fillId="0" borderId="71" xfId="0" applyNumberFormat="1" applyBorder="1" applyAlignment="1">
      <alignment horizontal="center"/>
    </xf>
    <xf numFmtId="3" fontId="38" fillId="2" borderId="72" xfId="0" applyNumberFormat="1" applyFont="1" applyFill="1" applyBorder="1" applyAlignment="1">
      <alignment horizontal="center"/>
    </xf>
    <xf numFmtId="3" fontId="38" fillId="2" borderId="72" xfId="0" applyNumberFormat="1" applyFont="1" applyFill="1" applyBorder="1" applyAlignment="1">
      <alignment horizontal="left"/>
    </xf>
    <xf numFmtId="0" fontId="38" fillId="2" borderId="35" xfId="0" applyFont="1" applyFill="1" applyBorder="1" applyAlignment="1">
      <alignment horizontal="left"/>
    </xf>
    <xf numFmtId="0" fontId="0" fillId="0" borderId="71" xfId="0" applyBorder="1"/>
    <xf numFmtId="0" fontId="23" fillId="2" borderId="73" xfId="1" applyBorder="1"/>
    <xf numFmtId="0" fontId="0" fillId="0" borderId="1" xfId="0" applyBorder="1" applyAlignment="1">
      <alignment horizontal="center" vertical="center" wrapText="1"/>
    </xf>
    <xf numFmtId="3" fontId="38" fillId="2" borderId="77" xfId="0" applyNumberFormat="1" applyFont="1" applyFill="1" applyBorder="1" applyAlignment="1">
      <alignment horizontal="left" vertical="center"/>
    </xf>
    <xf numFmtId="3" fontId="40" fillId="2" borderId="78" xfId="0" applyNumberFormat="1" applyFont="1" applyFill="1" applyBorder="1" applyAlignment="1">
      <alignment horizontal="left" vertical="center"/>
    </xf>
    <xf numFmtId="3" fontId="41" fillId="2" borderId="79" xfId="1" applyNumberFormat="1" applyFont="1" applyBorder="1" applyAlignment="1">
      <alignment horizontal="left" vertical="center" wrapText="1"/>
    </xf>
    <xf numFmtId="3" fontId="0" fillId="0" borderId="71" xfId="0" applyNumberFormat="1" applyBorder="1" applyAlignment="1">
      <alignment horizontal="right"/>
    </xf>
    <xf numFmtId="0" fontId="27" fillId="0" borderId="80" xfId="0" applyFont="1" applyBorder="1" applyAlignment="1">
      <alignment horizontal="left" vertical="center" wrapText="1"/>
    </xf>
    <xf numFmtId="3" fontId="30" fillId="2" borderId="83" xfId="0" applyNumberFormat="1" applyFont="1" applyFill="1" applyBorder="1" applyAlignment="1">
      <alignment horizontal="left" vertical="center" wrapText="1"/>
    </xf>
    <xf numFmtId="3" fontId="30" fillId="2" borderId="84" xfId="0" applyNumberFormat="1" applyFont="1" applyFill="1" applyBorder="1" applyAlignment="1">
      <alignment horizontal="left" vertical="center" wrapText="1"/>
    </xf>
    <xf numFmtId="3" fontId="30" fillId="2" borderId="85" xfId="0" applyNumberFormat="1" applyFont="1" applyFill="1" applyBorder="1" applyAlignment="1">
      <alignment horizontal="left" wrapText="1"/>
    </xf>
    <xf numFmtId="3" fontId="30" fillId="2" borderId="85" xfId="0" applyNumberFormat="1" applyFont="1" applyFill="1" applyBorder="1" applyAlignment="1">
      <alignment horizontal="left"/>
    </xf>
    <xf numFmtId="3" fontId="30" fillId="2" borderId="87" xfId="0" applyNumberFormat="1" applyFont="1" applyFill="1" applyBorder="1" applyAlignment="1">
      <alignment horizontal="left" vertical="center"/>
    </xf>
    <xf numFmtId="3" fontId="48" fillId="2" borderId="81" xfId="0" applyNumberFormat="1" applyFont="1" applyFill="1" applyBorder="1" applyAlignment="1">
      <alignment horizontal="left"/>
    </xf>
    <xf numFmtId="3" fontId="49" fillId="2" borderId="82" xfId="1" applyNumberFormat="1" applyFont="1" applyBorder="1" applyAlignment="1">
      <alignment horizontal="left" vertical="center" wrapText="1"/>
    </xf>
    <xf numFmtId="3" fontId="48" fillId="2" borderId="88" xfId="0" applyNumberFormat="1" applyFont="1" applyFill="1" applyBorder="1" applyAlignment="1">
      <alignment horizontal="left"/>
    </xf>
    <xf numFmtId="3" fontId="49" fillId="2" borderId="89" xfId="1" applyNumberFormat="1" applyFont="1" applyBorder="1" applyAlignment="1">
      <alignment horizontal="left" vertical="center"/>
    </xf>
    <xf numFmtId="3" fontId="29" fillId="2" borderId="88" xfId="0" applyNumberFormat="1" applyFont="1" applyFill="1" applyBorder="1" applyAlignment="1">
      <alignment horizontal="left" vertical="center" wrapText="1"/>
    </xf>
    <xf numFmtId="3" fontId="29" fillId="2" borderId="89" xfId="0" applyNumberFormat="1" applyFont="1" applyFill="1" applyBorder="1" applyAlignment="1">
      <alignment horizontal="left" vertical="center" wrapText="1"/>
    </xf>
    <xf numFmtId="0" fontId="50" fillId="0" borderId="0" xfId="0" applyFont="1"/>
    <xf numFmtId="3" fontId="50" fillId="0" borderId="0" xfId="0" applyNumberFormat="1" applyFont="1" applyAlignment="1">
      <alignment horizontal="left"/>
    </xf>
    <xf numFmtId="0" fontId="48" fillId="0" borderId="1" xfId="0" applyFont="1" applyBorder="1" applyAlignment="1">
      <alignment horizontal="left"/>
    </xf>
    <xf numFmtId="0" fontId="52" fillId="0" borderId="1" xfId="0" applyFont="1" applyBorder="1" applyAlignment="1">
      <alignment horizontal="left"/>
    </xf>
    <xf numFmtId="0" fontId="53" fillId="0" borderId="1" xfId="0" applyFont="1" applyBorder="1" applyAlignment="1">
      <alignment horizontal="left"/>
    </xf>
    <xf numFmtId="0" fontId="54" fillId="0" borderId="1" xfId="0" applyFont="1" applyBorder="1" applyAlignment="1">
      <alignment horizontal="left"/>
    </xf>
    <xf numFmtId="0" fontId="27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wrapText="1"/>
    </xf>
    <xf numFmtId="3" fontId="48" fillId="2" borderId="13" xfId="0" applyNumberFormat="1" applyFont="1" applyFill="1" applyBorder="1" applyAlignment="1">
      <alignment horizontal="left"/>
    </xf>
    <xf numFmtId="3" fontId="48" fillId="2" borderId="14" xfId="0" applyNumberFormat="1" applyFont="1" applyFill="1" applyBorder="1" applyAlignment="1">
      <alignment horizontal="left"/>
    </xf>
    <xf numFmtId="3" fontId="53" fillId="2" borderId="14" xfId="0" applyNumberFormat="1" applyFont="1" applyFill="1" applyBorder="1" applyAlignment="1">
      <alignment horizontal="left"/>
    </xf>
    <xf numFmtId="0" fontId="48" fillId="2" borderId="15" xfId="0" applyFont="1" applyFill="1" applyBorder="1" applyAlignment="1">
      <alignment horizontal="left"/>
    </xf>
    <xf numFmtId="3" fontId="48" fillId="2" borderId="19" xfId="0" applyNumberFormat="1" applyFont="1" applyFill="1" applyBorder="1" applyAlignment="1">
      <alignment horizontal="left"/>
    </xf>
    <xf numFmtId="3" fontId="48" fillId="2" borderId="20" xfId="0" applyNumberFormat="1" applyFont="1" applyFill="1" applyBorder="1" applyAlignment="1">
      <alignment horizontal="left"/>
    </xf>
    <xf numFmtId="3" fontId="53" fillId="2" borderId="20" xfId="0" applyNumberFormat="1" applyFont="1" applyFill="1" applyBorder="1" applyAlignment="1">
      <alignment horizontal="left"/>
    </xf>
    <xf numFmtId="0" fontId="48" fillId="2" borderId="21" xfId="0" applyFont="1" applyFill="1" applyBorder="1" applyAlignment="1">
      <alignment horizontal="left"/>
    </xf>
    <xf numFmtId="3" fontId="48" fillId="0" borderId="1" xfId="0" applyNumberFormat="1" applyFont="1" applyBorder="1" applyAlignment="1">
      <alignment horizontal="left"/>
    </xf>
    <xf numFmtId="3" fontId="55" fillId="2" borderId="16" xfId="1" applyNumberFormat="1" applyFont="1" applyBorder="1" applyAlignment="1">
      <alignment horizontal="center"/>
    </xf>
    <xf numFmtId="3" fontId="53" fillId="2" borderId="2" xfId="0" applyNumberFormat="1" applyFont="1" applyFill="1" applyBorder="1" applyAlignment="1">
      <alignment horizontal="left"/>
    </xf>
    <xf numFmtId="0" fontId="53" fillId="2" borderId="17" xfId="0" applyFont="1" applyFill="1" applyBorder="1" applyAlignment="1">
      <alignment horizontal="left"/>
    </xf>
    <xf numFmtId="0" fontId="0" fillId="0" borderId="98" xfId="0" applyBorder="1" applyAlignment="1">
      <alignment vertical="top" wrapText="1"/>
    </xf>
    <xf numFmtId="3" fontId="40" fillId="2" borderId="49" xfId="0" applyNumberFormat="1" applyFont="1" applyFill="1" applyBorder="1" applyAlignment="1">
      <alignment horizontal="left"/>
    </xf>
    <xf numFmtId="3" fontId="35" fillId="2" borderId="100" xfId="0" applyNumberFormat="1" applyFont="1" applyFill="1" applyBorder="1"/>
    <xf numFmtId="3" fontId="35" fillId="2" borderId="101" xfId="0" applyNumberFormat="1" applyFont="1" applyFill="1" applyBorder="1" applyAlignment="1">
      <alignment horizontal="center"/>
    </xf>
    <xf numFmtId="3" fontId="35" fillId="2" borderId="101" xfId="0" applyNumberFormat="1" applyFont="1" applyFill="1" applyBorder="1" applyAlignment="1">
      <alignment horizontal="left"/>
    </xf>
    <xf numFmtId="3" fontId="36" fillId="2" borderId="101" xfId="0" applyNumberFormat="1" applyFont="1" applyFill="1" applyBorder="1"/>
    <xf numFmtId="0" fontId="23" fillId="2" borderId="37" xfId="1" applyBorder="1" applyAlignment="1">
      <alignment wrapText="1"/>
    </xf>
    <xf numFmtId="3" fontId="38" fillId="2" borderId="79" xfId="0" applyNumberFormat="1" applyFont="1" applyFill="1" applyBorder="1" applyAlignment="1">
      <alignment horizontal="left" vertical="center" wrapText="1"/>
    </xf>
    <xf numFmtId="0" fontId="57" fillId="9" borderId="75" xfId="3" applyFont="1" applyBorder="1" applyAlignment="1">
      <alignment horizontal="left" vertical="top" wrapText="1"/>
    </xf>
    <xf numFmtId="0" fontId="58" fillId="9" borderId="51" xfId="3" applyFont="1" applyBorder="1" applyAlignment="1">
      <alignment horizontal="left" vertical="top" wrapText="1"/>
    </xf>
    <xf numFmtId="0" fontId="58" fillId="9" borderId="41" xfId="3" applyFont="1" applyBorder="1" applyAlignment="1">
      <alignment horizontal="left" vertical="top" wrapText="1"/>
    </xf>
    <xf numFmtId="0" fontId="57" fillId="9" borderId="41" xfId="3" applyFont="1" applyBorder="1" applyAlignment="1">
      <alignment horizontal="left" vertical="top" wrapText="1"/>
    </xf>
    <xf numFmtId="0" fontId="58" fillId="9" borderId="74" xfId="3" applyFont="1" applyBorder="1" applyAlignment="1">
      <alignment horizontal="left" vertical="top" wrapText="1"/>
    </xf>
    <xf numFmtId="0" fontId="59" fillId="0" borderId="0" xfId="0" applyFont="1" applyAlignment="1">
      <alignment horizontal="center" vertical="top" wrapText="1"/>
    </xf>
    <xf numFmtId="0" fontId="57" fillId="9" borderId="99" xfId="3" applyFont="1" applyBorder="1" applyAlignment="1">
      <alignment horizontal="left" vertical="top" wrapText="1"/>
    </xf>
    <xf numFmtId="0" fontId="58" fillId="9" borderId="1" xfId="3" applyFont="1" applyBorder="1" applyAlignment="1">
      <alignment horizontal="center" vertical="top" wrapText="1"/>
    </xf>
    <xf numFmtId="0" fontId="57" fillId="9" borderId="1" xfId="3" applyFont="1" applyBorder="1" applyAlignment="1">
      <alignment horizontal="left" vertical="top" wrapText="1"/>
    </xf>
    <xf numFmtId="0" fontId="60" fillId="0" borderId="71" xfId="0" applyFont="1" applyBorder="1" applyAlignment="1">
      <alignment vertical="top" wrapText="1"/>
    </xf>
    <xf numFmtId="0" fontId="60" fillId="0" borderId="0" xfId="0" applyFont="1" applyAlignment="1">
      <alignment vertical="top" wrapText="1"/>
    </xf>
    <xf numFmtId="0" fontId="57" fillId="9" borderId="71" xfId="3" applyFont="1" applyBorder="1" applyAlignment="1">
      <alignment horizontal="left" vertical="top" wrapText="1"/>
    </xf>
    <xf numFmtId="3" fontId="30" fillId="2" borderId="86" xfId="0" applyNumberFormat="1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left" wrapText="1"/>
    </xf>
    <xf numFmtId="0" fontId="7" fillId="2" borderId="20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3" fontId="62" fillId="2" borderId="36" xfId="0" applyNumberFormat="1" applyFont="1" applyFill="1" applyBorder="1" applyAlignment="1">
      <alignment horizontal="left"/>
    </xf>
    <xf numFmtId="0" fontId="57" fillId="9" borderId="51" xfId="3" applyFont="1" applyBorder="1" applyAlignment="1">
      <alignment horizontal="left" vertical="top" wrapText="1"/>
    </xf>
    <xf numFmtId="3" fontId="25" fillId="8" borderId="54" xfId="2" applyNumberFormat="1" applyBorder="1" applyAlignment="1">
      <alignment horizontal="left" vertical="center" wrapText="1"/>
    </xf>
    <xf numFmtId="3" fontId="25" fillId="8" borderId="52" xfId="2" applyNumberFormat="1" applyBorder="1" applyAlignment="1">
      <alignment horizontal="left" vertical="center" wrapText="1"/>
    </xf>
    <xf numFmtId="3" fontId="25" fillId="8" borderId="55" xfId="2" applyNumberFormat="1" applyBorder="1" applyAlignment="1">
      <alignment horizontal="left" vertical="center" wrapText="1"/>
    </xf>
    <xf numFmtId="3" fontId="25" fillId="8" borderId="56" xfId="2" applyNumberFormat="1" applyBorder="1" applyAlignment="1">
      <alignment horizontal="left" vertical="center" wrapText="1"/>
    </xf>
    <xf numFmtId="3" fontId="25" fillId="8" borderId="1" xfId="2" applyNumberFormat="1" applyBorder="1" applyAlignment="1">
      <alignment horizontal="left" vertical="center" wrapText="1"/>
    </xf>
    <xf numFmtId="3" fontId="25" fillId="8" borderId="57" xfId="2" applyNumberFormat="1" applyBorder="1" applyAlignment="1">
      <alignment horizontal="left" vertical="center" wrapText="1"/>
    </xf>
    <xf numFmtId="3" fontId="25" fillId="8" borderId="58" xfId="2" applyNumberFormat="1" applyBorder="1" applyAlignment="1">
      <alignment horizontal="left" vertical="center" wrapText="1"/>
    </xf>
    <xf numFmtId="3" fontId="25" fillId="8" borderId="59" xfId="2" applyNumberFormat="1" applyBorder="1" applyAlignment="1">
      <alignment horizontal="left" vertical="center" wrapText="1"/>
    </xf>
    <xf numFmtId="3" fontId="25" fillId="8" borderId="60" xfId="2" applyNumberFormat="1" applyBorder="1" applyAlignment="1">
      <alignment horizontal="left" vertical="center" wrapText="1"/>
    </xf>
    <xf numFmtId="0" fontId="34" fillId="0" borderId="76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3" fontId="39" fillId="2" borderId="45" xfId="1" applyNumberFormat="1" applyFont="1" applyBorder="1" applyAlignment="1" applyProtection="1">
      <alignment horizontal="left" vertical="center"/>
    </xf>
    <xf numFmtId="3" fontId="39" fillId="2" borderId="43" xfId="1" applyNumberFormat="1" applyFont="1" applyBorder="1" applyAlignment="1" applyProtection="1">
      <alignment horizontal="left" vertical="center"/>
    </xf>
    <xf numFmtId="3" fontId="39" fillId="2" borderId="46" xfId="1" applyNumberFormat="1" applyFont="1" applyBorder="1" applyAlignment="1" applyProtection="1">
      <alignment horizontal="left" vertical="center"/>
    </xf>
    <xf numFmtId="3" fontId="35" fillId="2" borderId="71" xfId="0" applyNumberFormat="1" applyFont="1" applyFill="1" applyBorder="1" applyAlignment="1">
      <alignment horizontal="left"/>
    </xf>
    <xf numFmtId="3" fontId="35" fillId="2" borderId="1" xfId="0" applyNumberFormat="1" applyFont="1" applyFill="1" applyBorder="1" applyAlignment="1">
      <alignment horizontal="left"/>
    </xf>
    <xf numFmtId="3" fontId="35" fillId="2" borderId="1" xfId="0" applyNumberFormat="1" applyFont="1" applyFill="1" applyBorder="1"/>
    <xf numFmtId="3" fontId="36" fillId="2" borderId="76" xfId="0" applyNumberFormat="1" applyFont="1" applyFill="1" applyBorder="1"/>
    <xf numFmtId="0" fontId="33" fillId="0" borderId="76" xfId="0" applyFont="1" applyBorder="1" applyAlignment="1">
      <alignment horizontal="center" vertical="center"/>
    </xf>
    <xf numFmtId="3" fontId="35" fillId="2" borderId="1" xfId="0" applyNumberFormat="1" applyFont="1" applyFill="1" applyBorder="1" applyAlignment="1">
      <alignment horizontal="left" wrapText="1"/>
    </xf>
    <xf numFmtId="3" fontId="35" fillId="2" borderId="1" xfId="0" applyNumberFormat="1" applyFont="1" applyFill="1" applyBorder="1" applyAlignment="1">
      <alignment horizontal="center"/>
    </xf>
    <xf numFmtId="3" fontId="46" fillId="8" borderId="54" xfId="2" applyNumberFormat="1" applyFont="1" applyBorder="1" applyAlignment="1">
      <alignment horizontal="left" vertical="center" wrapText="1"/>
    </xf>
    <xf numFmtId="3" fontId="46" fillId="8" borderId="52" xfId="2" applyNumberFormat="1" applyFont="1" applyBorder="1" applyAlignment="1">
      <alignment horizontal="left" vertical="center" wrapText="1"/>
    </xf>
    <xf numFmtId="3" fontId="46" fillId="8" borderId="55" xfId="2" applyNumberFormat="1" applyFont="1" applyBorder="1" applyAlignment="1">
      <alignment horizontal="left" vertical="center" wrapText="1"/>
    </xf>
    <xf numFmtId="3" fontId="46" fillId="8" borderId="56" xfId="2" applyNumberFormat="1" applyFont="1" applyBorder="1" applyAlignment="1">
      <alignment horizontal="left" vertical="center" wrapText="1"/>
    </xf>
    <xf numFmtId="3" fontId="46" fillId="8" borderId="1" xfId="2" applyNumberFormat="1" applyFont="1" applyBorder="1" applyAlignment="1">
      <alignment horizontal="left" vertical="center" wrapText="1"/>
    </xf>
    <xf numFmtId="3" fontId="46" fillId="8" borderId="57" xfId="2" applyNumberFormat="1" applyFont="1" applyBorder="1" applyAlignment="1">
      <alignment horizontal="left" vertical="center" wrapText="1"/>
    </xf>
    <xf numFmtId="3" fontId="46" fillId="8" borderId="58" xfId="2" applyNumberFormat="1" applyFont="1" applyBorder="1" applyAlignment="1">
      <alignment horizontal="left" vertical="center" wrapText="1"/>
    </xf>
    <xf numFmtId="3" fontId="46" fillId="8" borderId="59" xfId="2" applyNumberFormat="1" applyFont="1" applyBorder="1" applyAlignment="1">
      <alignment horizontal="left" vertical="center" wrapText="1"/>
    </xf>
    <xf numFmtId="3" fontId="46" fillId="8" borderId="60" xfId="2" applyNumberFormat="1" applyFont="1" applyBorder="1" applyAlignment="1">
      <alignment horizontal="left" vertical="center" wrapText="1"/>
    </xf>
    <xf numFmtId="3" fontId="34" fillId="0" borderId="1" xfId="0" applyNumberFormat="1" applyFont="1" applyBorder="1" applyAlignment="1">
      <alignment horizontal="center" vertical="center"/>
    </xf>
    <xf numFmtId="3" fontId="25" fillId="8" borderId="54" xfId="2" applyNumberFormat="1" applyBorder="1" applyAlignment="1">
      <alignment horizontal="left" vertical="top" wrapText="1"/>
    </xf>
    <xf numFmtId="3" fontId="25" fillId="8" borderId="52" xfId="2" applyNumberFormat="1" applyBorder="1" applyAlignment="1">
      <alignment horizontal="left" vertical="top" wrapText="1"/>
    </xf>
    <xf numFmtId="3" fontId="25" fillId="8" borderId="55" xfId="2" applyNumberFormat="1" applyBorder="1" applyAlignment="1">
      <alignment horizontal="left" vertical="top" wrapText="1"/>
    </xf>
    <xf numFmtId="3" fontId="25" fillId="8" borderId="56" xfId="2" applyNumberFormat="1" applyBorder="1" applyAlignment="1">
      <alignment horizontal="left" vertical="top" wrapText="1"/>
    </xf>
    <xf numFmtId="3" fontId="25" fillId="8" borderId="1" xfId="2" applyNumberFormat="1" applyBorder="1" applyAlignment="1">
      <alignment horizontal="left" vertical="top" wrapText="1"/>
    </xf>
    <xf numFmtId="3" fontId="25" fillId="8" borderId="57" xfId="2" applyNumberFormat="1" applyBorder="1" applyAlignment="1">
      <alignment horizontal="left" vertical="top" wrapText="1"/>
    </xf>
    <xf numFmtId="3" fontId="25" fillId="8" borderId="58" xfId="2" applyNumberFormat="1" applyBorder="1" applyAlignment="1">
      <alignment horizontal="left" vertical="top" wrapText="1"/>
    </xf>
    <xf numFmtId="3" fontId="25" fillId="8" borderId="59" xfId="2" applyNumberFormat="1" applyBorder="1" applyAlignment="1">
      <alignment horizontal="left" vertical="top" wrapText="1"/>
    </xf>
    <xf numFmtId="3" fontId="25" fillId="8" borderId="60" xfId="2" applyNumberFormat="1" applyBorder="1" applyAlignment="1">
      <alignment horizontal="left" vertical="top" wrapText="1"/>
    </xf>
    <xf numFmtId="3" fontId="55" fillId="2" borderId="19" xfId="1" applyNumberFormat="1" applyFont="1" applyBorder="1" applyAlignment="1">
      <alignment horizontal="left"/>
    </xf>
    <xf numFmtId="3" fontId="55" fillId="2" borderId="20" xfId="1" applyNumberFormat="1" applyFont="1" applyBorder="1" applyAlignment="1">
      <alignment horizontal="left"/>
    </xf>
    <xf numFmtId="3" fontId="55" fillId="2" borderId="21" xfId="1" applyNumberFormat="1" applyFont="1" applyBorder="1" applyAlignment="1">
      <alignment horizontal="left"/>
    </xf>
    <xf numFmtId="3" fontId="53" fillId="2" borderId="13" xfId="0" applyNumberFormat="1" applyFont="1" applyFill="1" applyBorder="1" applyAlignment="1">
      <alignment horizontal="left"/>
    </xf>
    <xf numFmtId="3" fontId="56" fillId="0" borderId="25" xfId="0" applyNumberFormat="1" applyFont="1" applyBorder="1" applyAlignment="1">
      <alignment horizontal="left"/>
    </xf>
    <xf numFmtId="0" fontId="56" fillId="0" borderId="26" xfId="0" applyFont="1" applyBorder="1" applyAlignment="1">
      <alignment horizontal="left"/>
    </xf>
    <xf numFmtId="3" fontId="53" fillId="2" borderId="16" xfId="0" applyNumberFormat="1" applyFont="1" applyFill="1" applyBorder="1" applyAlignment="1">
      <alignment horizontal="left"/>
    </xf>
    <xf numFmtId="3" fontId="56" fillId="0" borderId="3" xfId="0" applyNumberFormat="1" applyFont="1" applyBorder="1" applyAlignment="1">
      <alignment horizontal="left"/>
    </xf>
    <xf numFmtId="0" fontId="56" fillId="0" borderId="18" xfId="0" applyFont="1" applyBorder="1" applyAlignment="1">
      <alignment horizontal="left"/>
    </xf>
    <xf numFmtId="3" fontId="53" fillId="2" borderId="19" xfId="0" applyNumberFormat="1" applyFont="1" applyFill="1" applyBorder="1" applyAlignment="1">
      <alignment horizontal="left"/>
    </xf>
    <xf numFmtId="3" fontId="56" fillId="0" borderId="27" xfId="0" applyNumberFormat="1" applyFont="1" applyBorder="1" applyAlignment="1">
      <alignment horizontal="left"/>
    </xf>
    <xf numFmtId="0" fontId="56" fillId="0" borderId="28" xfId="0" applyFont="1" applyBorder="1" applyAlignment="1">
      <alignment horizontal="left"/>
    </xf>
    <xf numFmtId="3" fontId="55" fillId="2" borderId="90" xfId="1" applyNumberFormat="1" applyFont="1" applyBorder="1" applyAlignment="1">
      <alignment horizontal="left"/>
    </xf>
    <xf numFmtId="3" fontId="55" fillId="2" borderId="91" xfId="1" applyNumberFormat="1" applyFont="1" applyBorder="1" applyAlignment="1">
      <alignment horizontal="left"/>
    </xf>
    <xf numFmtId="3" fontId="55" fillId="2" borderId="92" xfId="1" applyNumberFormat="1" applyFont="1" applyBorder="1" applyAlignment="1">
      <alignment horizontal="left"/>
    </xf>
    <xf numFmtId="3" fontId="25" fillId="8" borderId="90" xfId="2" applyNumberFormat="1" applyBorder="1" applyAlignment="1">
      <alignment horizontal="left" vertical="top" wrapText="1"/>
    </xf>
    <xf numFmtId="3" fontId="25" fillId="8" borderId="91" xfId="2" applyNumberFormat="1" applyBorder="1" applyAlignment="1">
      <alignment horizontal="left" vertical="top" wrapText="1"/>
    </xf>
    <xf numFmtId="3" fontId="25" fillId="8" borderId="92" xfId="2" applyNumberFormat="1" applyBorder="1" applyAlignment="1">
      <alignment horizontal="left" vertical="top" wrapText="1"/>
    </xf>
    <xf numFmtId="3" fontId="25" fillId="8" borderId="93" xfId="2" applyNumberFormat="1" applyBorder="1" applyAlignment="1">
      <alignment horizontal="left" vertical="top" wrapText="1"/>
    </xf>
    <xf numFmtId="3" fontId="25" fillId="8" borderId="94" xfId="2" applyNumberFormat="1" applyBorder="1" applyAlignment="1">
      <alignment horizontal="left" vertical="top" wrapText="1"/>
    </xf>
    <xf numFmtId="3" fontId="25" fillId="8" borderId="95" xfId="2" applyNumberFormat="1" applyBorder="1" applyAlignment="1">
      <alignment horizontal="left" vertical="top" wrapText="1"/>
    </xf>
    <xf numFmtId="3" fontId="25" fillId="8" borderId="96" xfId="2" applyNumberFormat="1" applyBorder="1" applyAlignment="1">
      <alignment horizontal="left" vertical="top" wrapText="1"/>
    </xf>
    <xf numFmtId="3" fontId="25" fillId="8" borderId="97" xfId="2" applyNumberFormat="1" applyBorder="1" applyAlignment="1">
      <alignment horizontal="left" vertical="top" wrapText="1"/>
    </xf>
    <xf numFmtId="0" fontId="4" fillId="2" borderId="13" xfId="0" applyFont="1" applyFill="1" applyBorder="1" applyAlignment="1">
      <alignment horizontal="left"/>
    </xf>
    <xf numFmtId="0" fontId="6" fillId="0" borderId="25" xfId="0" applyFont="1" applyBorder="1" applyAlignment="1">
      <alignment horizontal="left"/>
    </xf>
    <xf numFmtId="3" fontId="6" fillId="0" borderId="25" xfId="0" applyNumberFormat="1" applyFont="1" applyBorder="1" applyAlignment="1">
      <alignment horizontal="left"/>
    </xf>
    <xf numFmtId="0" fontId="6" fillId="0" borderId="26" xfId="0" applyFont="1" applyBorder="1" applyAlignment="1">
      <alignment horizontal="left"/>
    </xf>
    <xf numFmtId="0" fontId="4" fillId="2" borderId="16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3" fontId="6" fillId="0" borderId="3" xfId="0" applyNumberFormat="1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4" fillId="2" borderId="19" xfId="0" applyFont="1" applyFill="1" applyBorder="1" applyAlignment="1">
      <alignment horizontal="left"/>
    </xf>
    <xf numFmtId="0" fontId="6" fillId="0" borderId="27" xfId="0" applyFont="1" applyBorder="1" applyAlignment="1">
      <alignment horizontal="left"/>
    </xf>
    <xf numFmtId="3" fontId="6" fillId="0" borderId="27" xfId="0" applyNumberFormat="1" applyFont="1" applyBorder="1" applyAlignment="1">
      <alignment horizontal="left"/>
    </xf>
    <xf numFmtId="0" fontId="6" fillId="0" borderId="28" xfId="0" applyFont="1" applyBorder="1" applyAlignment="1">
      <alignment horizontal="left"/>
    </xf>
    <xf numFmtId="0" fontId="13" fillId="0" borderId="9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left" wrapText="1"/>
    </xf>
    <xf numFmtId="0" fontId="13" fillId="0" borderId="7" xfId="0" applyFont="1" applyBorder="1" applyAlignment="1">
      <alignment horizontal="left" wrapText="1"/>
    </xf>
    <xf numFmtId="0" fontId="13" fillId="0" borderId="11" xfId="0" applyFont="1" applyBorder="1" applyAlignment="1">
      <alignment horizontal="left" wrapText="1"/>
    </xf>
    <xf numFmtId="0" fontId="13" fillId="0" borderId="6" xfId="0" applyFont="1" applyBorder="1" applyAlignment="1">
      <alignment horizontal="left" wrapText="1"/>
    </xf>
    <xf numFmtId="3" fontId="4" fillId="2" borderId="2" xfId="0" applyNumberFormat="1" applyFont="1" applyFill="1" applyBorder="1" applyAlignment="1">
      <alignment horizontal="left"/>
    </xf>
    <xf numFmtId="0" fontId="6" fillId="0" borderId="4" xfId="0" applyFont="1" applyBorder="1" applyAlignment="1">
      <alignment horizontal="left"/>
    </xf>
    <xf numFmtId="165" fontId="6" fillId="0" borderId="1" xfId="0" applyNumberFormat="1" applyFont="1" applyBorder="1" applyAlignment="1">
      <alignment horizontal="right"/>
    </xf>
  </cellXfs>
  <cellStyles count="4">
    <cellStyle name="Good" xfId="2" builtinId="26"/>
    <cellStyle name="Input" xfId="1" builtinId="20"/>
    <cellStyle name="Normal" xfId="0" builtinId="0"/>
    <cellStyle name="Output" xfId="3" builtinId="21"/>
  </cellStyles>
  <dxfs count="2">
    <dxf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4D93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0000000}" name="Table1" displayName="Table1" ref="B17:H57" totalsRowShown="0">
  <autoFilter ref="B17:H57" xr:uid="{00000000-0009-0000-0100-00000A000000}"/>
  <tableColumns count="7">
    <tableColumn id="1" xr3:uid="{00000000-0010-0000-0000-000001000000}" name="Matrix (U/S/P/W)"/>
    <tableColumn id="2" xr3:uid="{00000000-0010-0000-0000-000002000000}" name="Sample No."/>
    <tableColumn id="3" xr3:uid="{00000000-0010-0000-0000-000003000000}" name="Sample ID"/>
    <tableColumn id="4" xr3:uid="{00000000-0010-0000-0000-000004000000}" name="Current Method"/>
    <tableColumn id="5" xr3:uid="{00000000-0010-0000-0000-000005000000}" name="New Method"/>
    <tableColumn id="6" xr3:uid="{00000000-0010-0000-0000-000006000000}" name="Tube Type (e.g. SST/PST)"/>
    <tableColumn id="7" xr3:uid="{00000000-0010-0000-0000-000007000000}" name="Day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3" displayName="Table43" ref="A15:F36" totalsRowShown="0">
  <autoFilter ref="A15:F36" xr:uid="{00000000-0009-0000-0100-000002000000}"/>
  <tableColumns count="6">
    <tableColumn id="1" xr3:uid="{00000000-0010-0000-0100-000001000000}" name="Levels"/>
    <tableColumn id="2" xr3:uid="{00000000-0010-0000-0100-000002000000}" name="Replicate"/>
    <tableColumn id="3" xr3:uid="{00000000-0010-0000-0100-000003000000}" name="Measured Result"/>
    <tableColumn id="4" xr3:uid="{00000000-0010-0000-0100-000004000000}" name="Average"/>
    <tableColumn id="5" xr3:uid="{00000000-0010-0000-0100-000005000000}" name="Expected Result"/>
    <tableColumn id="6" xr3:uid="{00000000-0010-0000-0100-000006000000}" name="Expected Rang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A15:F36" totalsRowShown="0">
  <autoFilter ref="A15:F36" xr:uid="{00000000-0009-0000-0100-000003000000}"/>
  <tableColumns count="6">
    <tableColumn id="1" xr3:uid="{00000000-0010-0000-0200-000001000000}" name="Levels"/>
    <tableColumn id="2" xr3:uid="{00000000-0010-0000-0200-000002000000}" name="Replicate"/>
    <tableColumn id="3" xr3:uid="{00000000-0010-0000-0200-000003000000}" name="Measured Result"/>
    <tableColumn id="4" xr3:uid="{00000000-0010-0000-0200-000004000000}" name="Average"/>
    <tableColumn id="5" xr3:uid="{00000000-0010-0000-0200-000005000000}" name="Expected Result"/>
    <tableColumn id="6" xr3:uid="{00000000-0010-0000-0200-000006000000}" name="Expected Rang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e13" displayName="Table13" ref="B21:G61" totalsRowShown="0">
  <autoFilter ref="B21:G61" xr:uid="{00000000-0009-0000-0100-000001000000}"/>
  <tableColumns count="6">
    <tableColumn id="1" xr3:uid="{00000000-0010-0000-0300-000001000000}" name="Healthy Individual #" dataDxfId="1"/>
    <tableColumn id="2" xr3:uid="{00000000-0010-0000-0300-000002000000}" name="Gender (M/F)" dataDxfId="0"/>
    <tableColumn id="3" xr3:uid="{00000000-0010-0000-0300-000003000000}" name="Age"/>
    <tableColumn id="4" xr3:uid="{00000000-0010-0000-0300-000004000000}" name="Result"/>
    <tableColumn id="5" xr3:uid="{00000000-0010-0000-0300-000005000000}" name="Bacrode"/>
    <tableColumn id="6" xr3:uid="{00000000-0010-0000-0300-000006000000}" name="Other I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zoomScale="85" zoomScaleNormal="85" workbookViewId="0">
      <selection activeCell="B6" sqref="B6:G6"/>
    </sheetView>
  </sheetViews>
  <sheetFormatPr defaultRowHeight="14.25" x14ac:dyDescent="0.45"/>
  <cols>
    <col min="1" max="1" width="31.59765625" style="77" customWidth="1"/>
    <col min="2" max="2" width="23" customWidth="1"/>
    <col min="3" max="3" width="26" customWidth="1"/>
    <col min="4" max="4" width="27.06640625" customWidth="1"/>
    <col min="5" max="5" width="27.265625" customWidth="1"/>
    <col min="6" max="6" width="26.33203125" customWidth="1"/>
    <col min="7" max="7" width="32.265625" customWidth="1"/>
  </cols>
  <sheetData>
    <row r="1" spans="1:7" s="75" customFormat="1" ht="53.65" customHeight="1" x14ac:dyDescent="0.45">
      <c r="A1" s="76"/>
      <c r="B1" s="224" t="s">
        <v>89</v>
      </c>
      <c r="C1" s="224"/>
      <c r="D1" s="224"/>
      <c r="E1" s="224"/>
      <c r="F1" s="224"/>
      <c r="G1" s="98">
        <v>46210</v>
      </c>
    </row>
    <row r="2" spans="1:7" s="75" customFormat="1" ht="53.65" customHeight="1" thickBot="1" x14ac:dyDescent="0.5">
      <c r="A2" s="151"/>
      <c r="B2" s="232" t="str">
        <f>C3&amp;" on " &amp; F4&amp; " "&amp;C4</f>
        <v>Creatinine on  Atellica CI</v>
      </c>
      <c r="C2" s="232"/>
      <c r="D2" s="232"/>
      <c r="E2" s="232"/>
      <c r="F2" s="232"/>
      <c r="G2" s="78"/>
    </row>
    <row r="3" spans="1:7" ht="43.5" thickTop="1" thickBot="1" x14ac:dyDescent="0.5">
      <c r="A3" s="196" t="s">
        <v>85</v>
      </c>
      <c r="B3" s="79" t="s">
        <v>62</v>
      </c>
      <c r="C3" s="152" t="s">
        <v>119</v>
      </c>
      <c r="D3" s="153" t="s">
        <v>4</v>
      </c>
      <c r="E3" s="195" t="s">
        <v>127</v>
      </c>
      <c r="F3" s="154" t="s">
        <v>86</v>
      </c>
      <c r="G3" s="194" t="s">
        <v>121</v>
      </c>
    </row>
    <row r="4" spans="1:7" ht="18.75" thickTop="1" thickBot="1" x14ac:dyDescent="0.6">
      <c r="A4" s="213" t="s">
        <v>145</v>
      </c>
      <c r="B4" s="99" t="s">
        <v>1</v>
      </c>
      <c r="C4" s="93" t="s">
        <v>125</v>
      </c>
      <c r="D4" s="89" t="s">
        <v>87</v>
      </c>
      <c r="E4" s="212" t="s">
        <v>120</v>
      </c>
      <c r="F4" s="90"/>
      <c r="G4" s="92"/>
    </row>
    <row r="5" spans="1:7" ht="18.75" thickTop="1" thickBot="1" x14ac:dyDescent="0.6">
      <c r="A5" s="198"/>
      <c r="B5" s="100" t="s">
        <v>2</v>
      </c>
      <c r="C5" s="94"/>
      <c r="D5" s="89" t="s">
        <v>46</v>
      </c>
      <c r="E5" s="80"/>
      <c r="F5" s="91" t="s">
        <v>47</v>
      </c>
      <c r="G5" s="87"/>
    </row>
    <row r="6" spans="1:7" ht="51" customHeight="1" thickTop="1" x14ac:dyDescent="0.45">
      <c r="A6" s="199" t="s">
        <v>3</v>
      </c>
      <c r="B6" s="225" t="str">
        <f>"This method serves to verify the performance of "&amp;C3&amp;" ("&amp;E3&amp;") on "&amp;C4&amp;"."</f>
        <v>This method serves to verify the performance of Creatinine (Urine and Serum) on Atellica CI.</v>
      </c>
      <c r="C6" s="226"/>
      <c r="D6" s="226"/>
      <c r="E6" s="226"/>
      <c r="F6" s="226"/>
      <c r="G6" s="227"/>
    </row>
    <row r="7" spans="1:7" ht="18" x14ac:dyDescent="0.55000000000000004">
      <c r="A7" s="199" t="s">
        <v>77</v>
      </c>
      <c r="B7" s="101" t="s">
        <v>78</v>
      </c>
      <c r="C7" s="95" t="s">
        <v>124</v>
      </c>
      <c r="D7" s="97" t="s">
        <v>79</v>
      </c>
      <c r="E7" s="96" t="s">
        <v>80</v>
      </c>
      <c r="F7" s="82"/>
      <c r="G7" s="86"/>
    </row>
    <row r="8" spans="1:7" ht="18" x14ac:dyDescent="0.55000000000000004">
      <c r="A8" s="197"/>
      <c r="B8" s="189" t="s">
        <v>5</v>
      </c>
      <c r="C8" s="83" t="s">
        <v>123</v>
      </c>
      <c r="D8" s="81" t="s">
        <v>133</v>
      </c>
      <c r="E8" s="81"/>
      <c r="F8" s="82"/>
      <c r="G8" s="86"/>
    </row>
    <row r="9" spans="1:7" ht="18.399999999999999" thickBot="1" x14ac:dyDescent="0.6">
      <c r="A9" s="200"/>
      <c r="B9" s="88"/>
      <c r="C9" s="146"/>
      <c r="D9" s="147"/>
      <c r="E9" s="147"/>
      <c r="F9" s="148"/>
      <c r="G9" s="150"/>
    </row>
    <row r="10" spans="1:7" ht="18.399999999999999" thickTop="1" x14ac:dyDescent="0.45">
      <c r="A10" s="201"/>
      <c r="B10" s="145"/>
      <c r="C10" s="84"/>
      <c r="D10" s="84"/>
      <c r="E10" s="84"/>
      <c r="F10" s="149"/>
      <c r="G10" s="85"/>
    </row>
    <row r="11" spans="1:7" ht="18.399999999999999" thickBot="1" x14ac:dyDescent="0.5">
      <c r="A11" s="201"/>
      <c r="B11" s="8"/>
      <c r="C11" s="12"/>
      <c r="D11" s="12"/>
      <c r="E11" s="12"/>
    </row>
    <row r="12" spans="1:7" ht="36.4" thickTop="1" x14ac:dyDescent="0.5">
      <c r="A12" s="202" t="s">
        <v>63</v>
      </c>
      <c r="B12" s="228" t="s">
        <v>81</v>
      </c>
      <c r="C12" s="228"/>
      <c r="D12" s="228"/>
      <c r="E12" s="228"/>
      <c r="F12" s="228"/>
    </row>
    <row r="13" spans="1:7" ht="18" x14ac:dyDescent="0.5">
      <c r="A13" s="203"/>
      <c r="B13" s="229" t="s">
        <v>82</v>
      </c>
      <c r="C13" s="229"/>
      <c r="D13" s="229"/>
      <c r="E13" s="229"/>
      <c r="F13" s="229"/>
    </row>
    <row r="14" spans="1:7" ht="18" x14ac:dyDescent="0.5">
      <c r="A14" s="203"/>
      <c r="B14" s="229" t="s">
        <v>109</v>
      </c>
      <c r="C14" s="229"/>
      <c r="D14" s="229"/>
      <c r="E14" s="229"/>
      <c r="F14" s="229"/>
    </row>
    <row r="15" spans="1:7" ht="18" x14ac:dyDescent="0.5">
      <c r="A15" s="203"/>
      <c r="B15" s="233" t="s">
        <v>110</v>
      </c>
      <c r="C15" s="233"/>
      <c r="D15" s="233"/>
      <c r="E15" s="233"/>
      <c r="F15" s="233"/>
    </row>
    <row r="16" spans="1:7" ht="36" x14ac:dyDescent="0.5">
      <c r="A16" s="204" t="s">
        <v>118</v>
      </c>
      <c r="B16" s="234"/>
      <c r="C16" s="234"/>
      <c r="D16" s="234"/>
      <c r="E16" s="234"/>
      <c r="F16" s="234"/>
    </row>
    <row r="17" spans="1:6" ht="18" x14ac:dyDescent="0.5">
      <c r="A17" s="203"/>
      <c r="B17" s="230" t="s">
        <v>111</v>
      </c>
      <c r="C17" s="230"/>
      <c r="D17" s="230"/>
      <c r="E17" s="230"/>
      <c r="F17" s="230"/>
    </row>
    <row r="18" spans="1:6" ht="18" x14ac:dyDescent="0.5">
      <c r="A18" s="203"/>
      <c r="B18" s="230" t="s">
        <v>112</v>
      </c>
      <c r="C18" s="230"/>
      <c r="D18" s="230"/>
      <c r="E18" s="230"/>
      <c r="F18" s="230"/>
    </row>
    <row r="19" spans="1:6" ht="18" x14ac:dyDescent="0.5">
      <c r="A19" s="203"/>
      <c r="B19" s="230" t="s">
        <v>113</v>
      </c>
      <c r="C19" s="230"/>
      <c r="D19" s="230"/>
      <c r="E19" s="230"/>
      <c r="F19" s="230"/>
    </row>
    <row r="20" spans="1:6" ht="18.399999999999999" thickBot="1" x14ac:dyDescent="0.55000000000000004">
      <c r="A20" s="203"/>
      <c r="B20" s="231" t="s">
        <v>114</v>
      </c>
      <c r="C20" s="231"/>
      <c r="D20" s="231"/>
      <c r="E20" s="231"/>
      <c r="F20" s="231"/>
    </row>
    <row r="21" spans="1:6" ht="18.399999999999999" thickTop="1" x14ac:dyDescent="0.45">
      <c r="A21" s="205"/>
      <c r="B21" s="85"/>
      <c r="C21" s="85"/>
      <c r="D21" s="85"/>
      <c r="E21" s="85"/>
      <c r="F21" s="85"/>
    </row>
    <row r="22" spans="1:6" ht="18" x14ac:dyDescent="0.45">
      <c r="A22" s="206"/>
    </row>
    <row r="23" spans="1:6" ht="18.399999999999999" thickBot="1" x14ac:dyDescent="0.5">
      <c r="A23" s="206"/>
    </row>
    <row r="24" spans="1:6" ht="18.75" thickTop="1" thickBot="1" x14ac:dyDescent="0.55000000000000004">
      <c r="A24" s="207" t="s">
        <v>116</v>
      </c>
      <c r="B24" s="190"/>
      <c r="C24" s="190"/>
    </row>
    <row r="25" spans="1:6" ht="18.75" thickTop="1" thickBot="1" x14ac:dyDescent="0.55000000000000004">
      <c r="A25" s="204" t="s">
        <v>143</v>
      </c>
      <c r="B25" s="191"/>
      <c r="C25" s="192"/>
    </row>
    <row r="26" spans="1:6" ht="18.75" thickTop="1" thickBot="1" x14ac:dyDescent="0.55000000000000004">
      <c r="A26" s="204" t="s">
        <v>117</v>
      </c>
      <c r="B26" s="193"/>
      <c r="C26" s="193"/>
    </row>
    <row r="27" spans="1:6" ht="14.65" thickTop="1" x14ac:dyDescent="0.45">
      <c r="A27" s="188"/>
    </row>
  </sheetData>
  <mergeCells count="12">
    <mergeCell ref="B17:F17"/>
    <mergeCell ref="B18:F18"/>
    <mergeCell ref="B19:F19"/>
    <mergeCell ref="B20:F20"/>
    <mergeCell ref="B2:F2"/>
    <mergeCell ref="B15:F15"/>
    <mergeCell ref="B16:F16"/>
    <mergeCell ref="B1:F1"/>
    <mergeCell ref="B6:G6"/>
    <mergeCell ref="B12:F12"/>
    <mergeCell ref="B13:F13"/>
    <mergeCell ref="B14:F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N66"/>
  <sheetViews>
    <sheetView tabSelected="1" topLeftCell="A18" workbookViewId="0">
      <selection activeCell="B37" sqref="B37:B42"/>
    </sheetView>
  </sheetViews>
  <sheetFormatPr defaultRowHeight="14.25" x14ac:dyDescent="0.45"/>
  <cols>
    <col min="1" max="1" width="37.33203125" style="33" customWidth="1"/>
    <col min="2" max="2" width="13" style="8" customWidth="1"/>
    <col min="3" max="3" width="18.265625" style="12" customWidth="1"/>
    <col min="4" max="4" width="17.06640625" style="12" bestFit="1" customWidth="1"/>
    <col min="5" max="5" width="20.59765625" style="12" customWidth="1"/>
    <col min="6" max="6" width="16" customWidth="1"/>
    <col min="7" max="7" width="14.59765625" style="8" customWidth="1"/>
  </cols>
  <sheetData>
    <row r="1" spans="1:14" ht="41.55" customHeight="1" thickBot="1" x14ac:dyDescent="0.5">
      <c r="B1" s="223" t="s">
        <v>90</v>
      </c>
      <c r="C1" s="223"/>
      <c r="D1" s="223"/>
      <c r="E1" s="223"/>
      <c r="F1" s="223"/>
      <c r="G1" s="223"/>
    </row>
    <row r="2" spans="1:14" ht="111" thickTop="1" thickBot="1" x14ac:dyDescent="0.55000000000000004">
      <c r="A2" s="156" t="s">
        <v>94</v>
      </c>
      <c r="B2" s="162" t="s">
        <v>92</v>
      </c>
      <c r="C2" s="159" t="str">
        <f>'Method Summary'!C3&amp;" "&amp;'Method Summary'!C4</f>
        <v>Creatinine Atellica CI</v>
      </c>
      <c r="D2" s="164" t="s">
        <v>4</v>
      </c>
      <c r="E2" s="160" t="str">
        <f>'Method Summary'!E3</f>
        <v>Urine and Serum</v>
      </c>
      <c r="F2" s="166" t="s">
        <v>86</v>
      </c>
      <c r="G2" s="157" t="str">
        <f>'Method Summary'!G3</f>
        <v>Serum, lithium heparin plasma, 
dipotassium EDTA plasma, sodium 
heparin plasma, urine</v>
      </c>
    </row>
    <row r="3" spans="1:14" ht="43.15" thickBot="1" x14ac:dyDescent="0.5">
      <c r="A3" s="102" t="s">
        <v>88</v>
      </c>
      <c r="B3" s="163" t="s">
        <v>93</v>
      </c>
      <c r="C3" s="208" t="s">
        <v>136</v>
      </c>
      <c r="D3" s="165" t="s">
        <v>4</v>
      </c>
      <c r="E3" s="161" t="s">
        <v>122</v>
      </c>
      <c r="F3" s="167" t="s">
        <v>86</v>
      </c>
      <c r="G3" s="158"/>
    </row>
    <row r="4" spans="1:14" ht="18.75" customHeight="1" thickTop="1" x14ac:dyDescent="0.45">
      <c r="A4" s="3"/>
      <c r="B4" s="145"/>
      <c r="C4" s="155"/>
      <c r="F4" s="149"/>
    </row>
    <row r="5" spans="1:14" ht="18.75" customHeight="1" x14ac:dyDescent="0.45">
      <c r="A5" s="3" t="s">
        <v>64</v>
      </c>
    </row>
    <row r="6" spans="1:14" ht="18.75" customHeight="1" thickBot="1" x14ac:dyDescent="0.5">
      <c r="B6" s="37"/>
    </row>
    <row r="7" spans="1:14" ht="18.75" customHeight="1" thickTop="1" x14ac:dyDescent="0.5">
      <c r="B7" s="37"/>
      <c r="C7" s="57" t="s">
        <v>140</v>
      </c>
      <c r="I7" s="214" t="s">
        <v>95</v>
      </c>
      <c r="J7" s="215"/>
      <c r="K7" s="215"/>
      <c r="L7" s="215"/>
      <c r="M7" s="215"/>
      <c r="N7" s="216"/>
    </row>
    <row r="8" spans="1:14" ht="31.45" customHeight="1" x14ac:dyDescent="0.5">
      <c r="B8" s="55" t="s">
        <v>51</v>
      </c>
      <c r="C8" s="51" t="s">
        <v>65</v>
      </c>
      <c r="D8" s="45"/>
      <c r="E8" s="45"/>
      <c r="F8" s="48"/>
      <c r="G8" s="49"/>
      <c r="H8" s="50"/>
      <c r="I8" s="217"/>
      <c r="J8" s="218"/>
      <c r="K8" s="218"/>
      <c r="L8" s="218"/>
      <c r="M8" s="218"/>
      <c r="N8" s="219"/>
    </row>
    <row r="9" spans="1:14" ht="15" customHeight="1" x14ac:dyDescent="0.5">
      <c r="B9" s="55" t="s">
        <v>53</v>
      </c>
      <c r="C9" s="52" t="s">
        <v>139</v>
      </c>
      <c r="D9" s="52"/>
      <c r="E9" s="52"/>
      <c r="F9" s="52"/>
      <c r="I9" s="217"/>
      <c r="J9" s="218"/>
      <c r="K9" s="218"/>
      <c r="L9" s="218"/>
      <c r="M9" s="218"/>
      <c r="N9" s="219"/>
    </row>
    <row r="10" spans="1:14" ht="18.75" customHeight="1" x14ac:dyDescent="0.5">
      <c r="B10" s="20" t="s">
        <v>53</v>
      </c>
      <c r="C10" s="53" t="s">
        <v>66</v>
      </c>
      <c r="D10" s="52"/>
      <c r="E10" s="52"/>
      <c r="F10" s="52"/>
      <c r="I10" s="217"/>
      <c r="J10" s="218"/>
      <c r="K10" s="218"/>
      <c r="L10" s="218"/>
      <c r="M10" s="218"/>
      <c r="N10" s="219"/>
    </row>
    <row r="11" spans="1:14" s="24" customFormat="1" ht="26.2" customHeight="1" x14ac:dyDescent="0.5">
      <c r="A11" s="39"/>
      <c r="B11" s="56" t="s">
        <v>67</v>
      </c>
      <c r="C11" s="53" t="s">
        <v>68</v>
      </c>
      <c r="D11" s="53"/>
      <c r="E11" s="53"/>
      <c r="F11" s="47"/>
      <c r="G11" s="40"/>
      <c r="I11" s="217"/>
      <c r="J11" s="218"/>
      <c r="K11" s="218"/>
      <c r="L11" s="218"/>
      <c r="M11" s="218"/>
      <c r="N11" s="219"/>
    </row>
    <row r="12" spans="1:14" ht="17.2" customHeight="1" thickBot="1" x14ac:dyDescent="0.55000000000000004">
      <c r="B12" s="55" t="s">
        <v>69</v>
      </c>
      <c r="C12" s="45" t="s">
        <v>70</v>
      </c>
      <c r="D12" s="46"/>
      <c r="E12" s="46"/>
      <c r="F12" s="44"/>
      <c r="I12" s="220"/>
      <c r="J12" s="221"/>
      <c r="K12" s="221"/>
      <c r="L12" s="221"/>
      <c r="M12" s="221"/>
      <c r="N12" s="222"/>
    </row>
    <row r="13" spans="1:14" ht="13.9" customHeight="1" thickTop="1" x14ac:dyDescent="0.5">
      <c r="B13" s="37" t="s">
        <v>71</v>
      </c>
      <c r="C13" s="54" t="s">
        <v>72</v>
      </c>
      <c r="D13" s="54"/>
      <c r="E13" s="54"/>
      <c r="F13" s="44"/>
    </row>
    <row r="14" spans="1:14" ht="18.75" customHeight="1" x14ac:dyDescent="0.5">
      <c r="B14" s="37"/>
      <c r="C14" s="54"/>
      <c r="D14" s="54"/>
      <c r="E14" s="54"/>
      <c r="F14" s="44"/>
    </row>
    <row r="15" spans="1:14" ht="18.75" customHeight="1" x14ac:dyDescent="0.45">
      <c r="B15" s="37"/>
      <c r="C15" s="38"/>
      <c r="D15" s="38"/>
      <c r="E15" s="38"/>
    </row>
    <row r="16" spans="1:14" ht="18.75" customHeight="1" x14ac:dyDescent="0.45">
      <c r="B16" s="37"/>
      <c r="C16" s="38"/>
      <c r="D16" s="38"/>
      <c r="E16" s="38"/>
    </row>
    <row r="17" spans="2:8" ht="28.5" x14ac:dyDescent="0.45">
      <c r="B17" s="41" t="s">
        <v>91</v>
      </c>
      <c r="C17" s="42" t="s">
        <v>73</v>
      </c>
      <c r="D17" s="43" t="s">
        <v>44</v>
      </c>
      <c r="E17" s="43" t="s">
        <v>138</v>
      </c>
      <c r="F17" s="43" t="s">
        <v>137</v>
      </c>
      <c r="G17" s="41" t="s">
        <v>74</v>
      </c>
      <c r="H17" s="42" t="s">
        <v>57</v>
      </c>
    </row>
    <row r="18" spans="2:8" s="24" customFormat="1" ht="41.55" customHeight="1" x14ac:dyDescent="0.45">
      <c r="B18" s="10" t="s">
        <v>75</v>
      </c>
      <c r="C18" s="11">
        <v>1</v>
      </c>
      <c r="D18" s="85">
        <v>29503976</v>
      </c>
      <c r="E18" s="296">
        <v>1.2330000000000001</v>
      </c>
      <c r="F18" s="296">
        <v>1.208</v>
      </c>
      <c r="G18" t="s">
        <v>146</v>
      </c>
      <c r="H18" s="11">
        <v>1</v>
      </c>
    </row>
    <row r="19" spans="2:8" ht="18.75" customHeight="1" x14ac:dyDescent="0.45">
      <c r="B19" s="10" t="s">
        <v>75</v>
      </c>
      <c r="C19" s="11">
        <v>2</v>
      </c>
      <c r="D19" s="85">
        <v>29503975</v>
      </c>
      <c r="E19" s="296">
        <v>1.089</v>
      </c>
      <c r="F19" s="296">
        <v>1.0429999999999999</v>
      </c>
      <c r="G19" t="s">
        <v>146</v>
      </c>
      <c r="H19" s="11">
        <v>1</v>
      </c>
    </row>
    <row r="20" spans="2:8" ht="18.75" customHeight="1" x14ac:dyDescent="0.45">
      <c r="B20" s="10" t="s">
        <v>75</v>
      </c>
      <c r="C20" s="11">
        <v>3</v>
      </c>
      <c r="D20" s="85">
        <v>29503974</v>
      </c>
      <c r="E20" s="296">
        <v>1.754</v>
      </c>
      <c r="F20" s="296">
        <v>1.7050000000000001</v>
      </c>
      <c r="G20" t="s">
        <v>146</v>
      </c>
      <c r="H20" s="11">
        <v>1</v>
      </c>
    </row>
    <row r="21" spans="2:8" ht="18.75" customHeight="1" x14ac:dyDescent="0.45">
      <c r="B21" s="10" t="s">
        <v>75</v>
      </c>
      <c r="C21" s="11">
        <v>4</v>
      </c>
      <c r="D21" s="85">
        <v>29118636</v>
      </c>
      <c r="E21" s="296">
        <v>2.3149999999999999</v>
      </c>
      <c r="F21" s="296">
        <v>2.2650000000000001</v>
      </c>
      <c r="G21" t="s">
        <v>146</v>
      </c>
      <c r="H21" s="11">
        <v>1</v>
      </c>
    </row>
    <row r="22" spans="2:8" ht="18.75" customHeight="1" x14ac:dyDescent="0.45">
      <c r="B22" s="10" t="s">
        <v>75</v>
      </c>
      <c r="C22" s="11">
        <v>5</v>
      </c>
      <c r="D22" s="85">
        <v>29118635</v>
      </c>
      <c r="E22" s="296">
        <v>1.1850000000000001</v>
      </c>
      <c r="F22" s="296">
        <v>1.157</v>
      </c>
      <c r="G22" t="s">
        <v>146</v>
      </c>
      <c r="H22" s="11">
        <v>1</v>
      </c>
    </row>
    <row r="23" spans="2:8" ht="18.75" customHeight="1" x14ac:dyDescent="0.45">
      <c r="B23" s="10" t="s">
        <v>75</v>
      </c>
      <c r="C23" s="11">
        <v>6</v>
      </c>
      <c r="D23" s="85">
        <v>29118634</v>
      </c>
      <c r="E23" s="296">
        <v>1.087</v>
      </c>
      <c r="F23" s="296">
        <v>1.0349999999999999</v>
      </c>
      <c r="G23" t="s">
        <v>146</v>
      </c>
      <c r="H23" s="11">
        <v>2</v>
      </c>
    </row>
    <row r="24" spans="2:8" ht="18.75" customHeight="1" x14ac:dyDescent="0.45">
      <c r="B24" s="10" t="s">
        <v>75</v>
      </c>
      <c r="C24" s="11">
        <v>7</v>
      </c>
      <c r="D24" s="85">
        <v>29118633</v>
      </c>
      <c r="E24" s="296">
        <v>1.7010000000000001</v>
      </c>
      <c r="F24" s="296">
        <v>1.7190000000000001</v>
      </c>
      <c r="G24" t="s">
        <v>146</v>
      </c>
      <c r="H24" s="11">
        <v>2</v>
      </c>
    </row>
    <row r="25" spans="2:8" ht="18.75" customHeight="1" x14ac:dyDescent="0.45">
      <c r="B25" s="10" t="s">
        <v>75</v>
      </c>
      <c r="C25" s="11">
        <v>8</v>
      </c>
      <c r="D25" s="85">
        <v>29118632</v>
      </c>
      <c r="E25" s="296">
        <v>0.74</v>
      </c>
      <c r="F25" s="296">
        <v>0.72899999999999998</v>
      </c>
      <c r="G25" t="s">
        <v>146</v>
      </c>
      <c r="H25" s="11">
        <v>2</v>
      </c>
    </row>
    <row r="26" spans="2:8" ht="18.75" customHeight="1" x14ac:dyDescent="0.45">
      <c r="B26" s="10" t="s">
        <v>75</v>
      </c>
      <c r="C26" s="11">
        <v>9</v>
      </c>
      <c r="D26" s="85">
        <v>29118631</v>
      </c>
      <c r="E26" s="296">
        <v>0.53400000000000003</v>
      </c>
      <c r="F26" s="296">
        <v>0.59899999999999998</v>
      </c>
      <c r="G26" t="s">
        <v>146</v>
      </c>
      <c r="H26" s="11">
        <v>2</v>
      </c>
    </row>
    <row r="27" spans="2:8" ht="18.75" customHeight="1" x14ac:dyDescent="0.45">
      <c r="B27" s="10" t="s">
        <v>75</v>
      </c>
      <c r="C27" s="11">
        <v>10</v>
      </c>
      <c r="D27" s="85">
        <v>29118630</v>
      </c>
      <c r="E27" s="296">
        <v>2.1970000000000001</v>
      </c>
      <c r="F27" s="296">
        <v>2.145</v>
      </c>
      <c r="G27" t="s">
        <v>146</v>
      </c>
      <c r="H27" s="11">
        <v>2</v>
      </c>
    </row>
    <row r="28" spans="2:8" ht="18.75" customHeight="1" x14ac:dyDescent="0.45">
      <c r="B28" s="10" t="s">
        <v>75</v>
      </c>
      <c r="C28" s="11">
        <v>11</v>
      </c>
      <c r="D28" s="85">
        <v>29028183</v>
      </c>
      <c r="E28" s="296">
        <v>1.127</v>
      </c>
      <c r="F28" s="296">
        <v>1.1080000000000001</v>
      </c>
      <c r="G28" t="s">
        <v>146</v>
      </c>
      <c r="H28" s="11">
        <v>3</v>
      </c>
    </row>
    <row r="29" spans="2:8" ht="18.75" customHeight="1" x14ac:dyDescent="0.45">
      <c r="B29" s="10" t="s">
        <v>75</v>
      </c>
      <c r="C29" s="11">
        <v>12</v>
      </c>
      <c r="D29" s="85">
        <v>29028182</v>
      </c>
      <c r="E29" s="296">
        <v>0.99399999999999999</v>
      </c>
      <c r="F29" s="296">
        <v>1.004</v>
      </c>
      <c r="G29" t="s">
        <v>146</v>
      </c>
      <c r="H29" s="11">
        <v>3</v>
      </c>
    </row>
    <row r="30" spans="2:8" ht="18.75" customHeight="1" x14ac:dyDescent="0.45">
      <c r="B30" s="10" t="s">
        <v>75</v>
      </c>
      <c r="C30" s="11">
        <v>13</v>
      </c>
      <c r="D30" s="85">
        <v>29028180</v>
      </c>
      <c r="E30" s="296">
        <v>1.5249999999999999</v>
      </c>
      <c r="F30" s="296">
        <v>1.474</v>
      </c>
      <c r="G30" t="s">
        <v>146</v>
      </c>
      <c r="H30" s="11">
        <v>3</v>
      </c>
    </row>
    <row r="31" spans="2:8" ht="18.75" customHeight="1" x14ac:dyDescent="0.45">
      <c r="B31" s="10" t="s">
        <v>75</v>
      </c>
      <c r="C31" s="11">
        <v>14</v>
      </c>
      <c r="D31" s="85">
        <v>29028179</v>
      </c>
      <c r="E31" s="296">
        <v>2.06</v>
      </c>
      <c r="F31" s="296">
        <v>1.9910000000000001</v>
      </c>
      <c r="G31" t="s">
        <v>146</v>
      </c>
      <c r="H31" s="11">
        <v>3</v>
      </c>
    </row>
    <row r="32" spans="2:8" ht="18.75" customHeight="1" x14ac:dyDescent="0.45">
      <c r="B32" s="10" t="s">
        <v>75</v>
      </c>
      <c r="C32" s="11">
        <v>15</v>
      </c>
      <c r="D32" s="85">
        <v>29028178</v>
      </c>
      <c r="E32" s="296">
        <v>1.3620000000000001</v>
      </c>
      <c r="F32" s="296">
        <v>1.298</v>
      </c>
      <c r="G32" t="s">
        <v>146</v>
      </c>
      <c r="H32" s="11">
        <v>3</v>
      </c>
    </row>
    <row r="33" spans="2:8" ht="18.75" customHeight="1" x14ac:dyDescent="0.45">
      <c r="B33" s="10" t="s">
        <v>75</v>
      </c>
      <c r="C33" s="11">
        <v>16</v>
      </c>
      <c r="D33" s="85">
        <v>29028177</v>
      </c>
      <c r="E33" s="296">
        <v>1.218</v>
      </c>
      <c r="F33" s="296">
        <v>1.26</v>
      </c>
      <c r="G33" t="s">
        <v>146</v>
      </c>
      <c r="H33" s="11">
        <v>4</v>
      </c>
    </row>
    <row r="34" spans="2:8" ht="18.75" customHeight="1" x14ac:dyDescent="0.45">
      <c r="B34" s="10" t="s">
        <v>75</v>
      </c>
      <c r="C34" s="11">
        <v>17</v>
      </c>
      <c r="D34" s="85">
        <v>29028176</v>
      </c>
      <c r="E34" s="296">
        <v>1.8080000000000001</v>
      </c>
      <c r="F34" s="296">
        <v>1.7929999999999999</v>
      </c>
      <c r="G34" t="s">
        <v>146</v>
      </c>
      <c r="H34" s="11">
        <v>4</v>
      </c>
    </row>
    <row r="35" spans="2:8" ht="18.75" customHeight="1" x14ac:dyDescent="0.45">
      <c r="B35" s="10" t="s">
        <v>75</v>
      </c>
      <c r="C35" s="11">
        <v>18</v>
      </c>
      <c r="D35" s="85">
        <v>29028175</v>
      </c>
      <c r="E35" s="296">
        <v>1.278</v>
      </c>
      <c r="F35" s="296">
        <v>1.238</v>
      </c>
      <c r="G35" t="s">
        <v>146</v>
      </c>
      <c r="H35" s="11">
        <v>4</v>
      </c>
    </row>
    <row r="36" spans="2:8" ht="18.75" customHeight="1" x14ac:dyDescent="0.45">
      <c r="B36" s="10" t="s">
        <v>75</v>
      </c>
      <c r="C36" s="11">
        <v>19</v>
      </c>
      <c r="D36" s="85">
        <v>29028174</v>
      </c>
      <c r="E36" s="296">
        <v>1.5720000000000001</v>
      </c>
      <c r="F36" s="296">
        <v>1.5469999999999999</v>
      </c>
      <c r="G36" t="s">
        <v>146</v>
      </c>
      <c r="H36" s="11">
        <v>4</v>
      </c>
    </row>
    <row r="37" spans="2:8" ht="18.75" customHeight="1" x14ac:dyDescent="0.45">
      <c r="B37" s="10" t="s">
        <v>75</v>
      </c>
      <c r="C37" s="11">
        <v>20</v>
      </c>
      <c r="D37" s="85">
        <v>29028173</v>
      </c>
      <c r="E37" s="296">
        <v>1.0369999999999999</v>
      </c>
      <c r="F37" s="296">
        <v>1.0409999999999999</v>
      </c>
      <c r="G37" t="s">
        <v>146</v>
      </c>
      <c r="H37" s="11">
        <v>4</v>
      </c>
    </row>
    <row r="38" spans="2:8" ht="18.75" customHeight="1" x14ac:dyDescent="0.45">
      <c r="B38" s="10" t="s">
        <v>75</v>
      </c>
      <c r="C38" s="11">
        <v>21</v>
      </c>
      <c r="D38" s="85">
        <v>29028183</v>
      </c>
      <c r="E38" s="296">
        <v>1.127</v>
      </c>
      <c r="F38" s="296">
        <v>1.1080000000000001</v>
      </c>
      <c r="G38" t="s">
        <v>146</v>
      </c>
      <c r="H38" s="11">
        <v>5</v>
      </c>
    </row>
    <row r="39" spans="2:8" ht="18.75" customHeight="1" x14ac:dyDescent="0.45">
      <c r="B39" s="10" t="s">
        <v>75</v>
      </c>
      <c r="C39" s="11">
        <v>22</v>
      </c>
      <c r="D39" s="85">
        <v>29028182</v>
      </c>
      <c r="E39" s="296">
        <v>0.99399999999999999</v>
      </c>
      <c r="F39" s="296">
        <v>1.004</v>
      </c>
      <c r="G39" t="s">
        <v>146</v>
      </c>
      <c r="H39" s="11">
        <v>5</v>
      </c>
    </row>
    <row r="40" spans="2:8" ht="18.75" customHeight="1" x14ac:dyDescent="0.45">
      <c r="B40" s="10" t="s">
        <v>75</v>
      </c>
      <c r="C40" s="11">
        <v>23</v>
      </c>
      <c r="D40" s="85">
        <v>29028181</v>
      </c>
      <c r="E40" s="296">
        <v>2.028</v>
      </c>
      <c r="F40" s="296">
        <v>1.94</v>
      </c>
      <c r="G40" t="s">
        <v>146</v>
      </c>
      <c r="H40" s="11">
        <v>5</v>
      </c>
    </row>
    <row r="41" spans="2:8" ht="18.75" customHeight="1" x14ac:dyDescent="0.45">
      <c r="B41" s="10" t="s">
        <v>75</v>
      </c>
      <c r="C41" s="11">
        <v>24</v>
      </c>
      <c r="D41" s="85">
        <v>29503977</v>
      </c>
      <c r="E41" s="296">
        <v>1.181</v>
      </c>
      <c r="F41" s="296">
        <v>1.083</v>
      </c>
      <c r="G41" t="s">
        <v>146</v>
      </c>
      <c r="H41" s="11">
        <v>5</v>
      </c>
    </row>
    <row r="42" spans="2:8" ht="18.75" customHeight="1" x14ac:dyDescent="0.45">
      <c r="B42" s="10" t="s">
        <v>75</v>
      </c>
      <c r="C42" s="11">
        <v>25</v>
      </c>
      <c r="D42" s="85">
        <v>29503978</v>
      </c>
      <c r="E42" s="296">
        <v>1.7509999999999999</v>
      </c>
      <c r="F42" s="296">
        <v>1.679</v>
      </c>
      <c r="G42" t="s">
        <v>146</v>
      </c>
      <c r="H42" s="11">
        <v>5</v>
      </c>
    </row>
    <row r="43" spans="2:8" ht="18.75" customHeight="1" x14ac:dyDescent="0.45">
      <c r="B43" s="10" t="s">
        <v>126</v>
      </c>
      <c r="C43" s="11">
        <v>26</v>
      </c>
      <c r="D43" s="13"/>
      <c r="E43" s="13"/>
      <c r="F43" s="13"/>
      <c r="G43"/>
      <c r="H43" s="11">
        <v>5</v>
      </c>
    </row>
    <row r="44" spans="2:8" ht="18.75" customHeight="1" x14ac:dyDescent="0.45">
      <c r="B44" s="10" t="s">
        <v>126</v>
      </c>
      <c r="C44" s="11">
        <v>27</v>
      </c>
      <c r="D44" s="13"/>
      <c r="E44" s="13"/>
      <c r="F44" s="13"/>
      <c r="G44"/>
      <c r="H44" s="11">
        <v>5</v>
      </c>
    </row>
    <row r="45" spans="2:8" ht="18.75" customHeight="1" x14ac:dyDescent="0.45">
      <c r="B45" s="10" t="s">
        <v>126</v>
      </c>
      <c r="C45" s="11">
        <v>28</v>
      </c>
      <c r="D45" s="13"/>
      <c r="E45" s="13"/>
      <c r="F45" s="13"/>
      <c r="G45"/>
      <c r="H45" s="11">
        <v>5</v>
      </c>
    </row>
    <row r="46" spans="2:8" ht="18.75" customHeight="1" x14ac:dyDescent="0.45">
      <c r="B46" s="10" t="s">
        <v>126</v>
      </c>
      <c r="C46" s="11">
        <v>29</v>
      </c>
      <c r="D46" s="13"/>
      <c r="E46" s="13"/>
      <c r="F46" s="13"/>
      <c r="G46"/>
      <c r="H46" s="11">
        <v>5</v>
      </c>
    </row>
    <row r="47" spans="2:8" ht="18.75" customHeight="1" x14ac:dyDescent="0.45">
      <c r="B47" s="10" t="s">
        <v>126</v>
      </c>
      <c r="C47" s="11">
        <v>30</v>
      </c>
      <c r="D47" s="13"/>
      <c r="E47" s="13"/>
      <c r="F47" s="13"/>
      <c r="G47"/>
      <c r="H47" s="11">
        <v>5</v>
      </c>
    </row>
    <row r="48" spans="2:8" ht="18.75" customHeight="1" x14ac:dyDescent="0.45">
      <c r="B48" s="10" t="s">
        <v>126</v>
      </c>
      <c r="C48" s="11">
        <v>31</v>
      </c>
      <c r="D48" s="13"/>
      <c r="E48" s="13"/>
      <c r="F48" s="13"/>
      <c r="G48"/>
      <c r="H48" s="11">
        <v>5</v>
      </c>
    </row>
    <row r="49" spans="2:8" ht="18.75" customHeight="1" x14ac:dyDescent="0.45">
      <c r="B49" s="10" t="s">
        <v>126</v>
      </c>
      <c r="C49" s="11">
        <v>32</v>
      </c>
      <c r="D49" s="13"/>
      <c r="E49" s="13"/>
      <c r="F49" s="13"/>
      <c r="G49"/>
      <c r="H49" s="11">
        <v>5</v>
      </c>
    </row>
    <row r="50" spans="2:8" ht="18.75" customHeight="1" x14ac:dyDescent="0.45">
      <c r="B50" s="10" t="s">
        <v>126</v>
      </c>
      <c r="C50" s="11">
        <v>33</v>
      </c>
      <c r="D50" s="13"/>
      <c r="E50" s="13"/>
      <c r="F50" s="13"/>
      <c r="G50"/>
      <c r="H50" s="11">
        <v>5</v>
      </c>
    </row>
    <row r="51" spans="2:8" ht="18.75" customHeight="1" x14ac:dyDescent="0.45">
      <c r="B51" s="10" t="s">
        <v>126</v>
      </c>
      <c r="C51" s="11">
        <v>34</v>
      </c>
      <c r="D51" s="13"/>
      <c r="E51" s="13"/>
      <c r="F51" s="13"/>
      <c r="G51"/>
      <c r="H51" s="11">
        <v>5</v>
      </c>
    </row>
    <row r="52" spans="2:8" ht="18.75" customHeight="1" x14ac:dyDescent="0.45">
      <c r="B52" s="10" t="s">
        <v>126</v>
      </c>
      <c r="C52" s="11">
        <v>35</v>
      </c>
      <c r="D52" s="13"/>
      <c r="E52" s="13"/>
      <c r="F52" s="13"/>
      <c r="G52"/>
      <c r="H52" s="11">
        <v>5</v>
      </c>
    </row>
    <row r="53" spans="2:8" ht="18.75" customHeight="1" x14ac:dyDescent="0.45">
      <c r="B53" s="10" t="s">
        <v>126</v>
      </c>
      <c r="C53" s="11">
        <v>36</v>
      </c>
      <c r="D53" s="13"/>
      <c r="E53" s="13"/>
      <c r="F53" s="13"/>
      <c r="G53"/>
      <c r="H53" s="11">
        <v>5</v>
      </c>
    </row>
    <row r="54" spans="2:8" ht="18.75" customHeight="1" x14ac:dyDescent="0.45">
      <c r="B54" s="10" t="s">
        <v>126</v>
      </c>
      <c r="C54" s="11">
        <v>37</v>
      </c>
      <c r="D54" s="13"/>
      <c r="E54" s="13"/>
      <c r="F54" s="13"/>
      <c r="G54"/>
      <c r="H54" s="11">
        <v>5</v>
      </c>
    </row>
    <row r="55" spans="2:8" ht="18.75" customHeight="1" x14ac:dyDescent="0.45">
      <c r="B55" s="10" t="s">
        <v>126</v>
      </c>
      <c r="C55" s="11">
        <v>38</v>
      </c>
      <c r="D55" s="13"/>
      <c r="E55" s="13"/>
      <c r="F55" s="13"/>
      <c r="G55"/>
      <c r="H55" s="11">
        <v>5</v>
      </c>
    </row>
    <row r="56" spans="2:8" ht="18.75" customHeight="1" x14ac:dyDescent="0.45">
      <c r="B56" s="10" t="s">
        <v>126</v>
      </c>
      <c r="C56" s="11">
        <v>39</v>
      </c>
      <c r="D56" s="13"/>
      <c r="E56" s="13"/>
      <c r="F56" s="13"/>
      <c r="G56"/>
      <c r="H56" s="11">
        <v>5</v>
      </c>
    </row>
    <row r="57" spans="2:8" ht="18.75" customHeight="1" x14ac:dyDescent="0.45">
      <c r="B57" s="10" t="s">
        <v>126</v>
      </c>
      <c r="C57" s="11">
        <v>40</v>
      </c>
      <c r="D57" s="13"/>
      <c r="E57" s="13"/>
      <c r="F57" s="13"/>
      <c r="G57"/>
      <c r="H57" s="11">
        <v>5</v>
      </c>
    </row>
    <row r="58" spans="2:8" ht="18.75" customHeight="1" x14ac:dyDescent="0.45"/>
    <row r="59" spans="2:8" ht="18.75" customHeight="1" x14ac:dyDescent="0.45"/>
    <row r="60" spans="2:8" ht="18.75" customHeight="1" x14ac:dyDescent="0.45"/>
    <row r="61" spans="2:8" ht="18.75" customHeight="1" x14ac:dyDescent="0.45"/>
    <row r="62" spans="2:8" ht="18.75" customHeight="1" x14ac:dyDescent="0.45"/>
    <row r="63" spans="2:8" ht="18.75" customHeight="1" x14ac:dyDescent="0.45"/>
    <row r="64" spans="2:8" ht="18.75" customHeight="1" x14ac:dyDescent="0.45"/>
    <row r="65" ht="18.75" customHeight="1" x14ac:dyDescent="0.45"/>
    <row r="66" ht="14.65" customHeight="1" x14ac:dyDescent="0.45"/>
  </sheetData>
  <mergeCells count="2">
    <mergeCell ref="I7:N12"/>
    <mergeCell ref="B1:G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G218"/>
  <sheetViews>
    <sheetView workbookViewId="0">
      <selection activeCell="A19" sqref="A19"/>
    </sheetView>
  </sheetViews>
  <sheetFormatPr defaultRowHeight="14.25" x14ac:dyDescent="0.45"/>
  <cols>
    <col min="1" max="1" width="15.73046875" bestFit="1" customWidth="1"/>
    <col min="2" max="2" width="17.59765625" style="20" bestFit="1" customWidth="1"/>
    <col min="3" max="3" width="10.06640625" style="20" bestFit="1" customWidth="1"/>
    <col min="4" max="4" width="11.796875" style="20" bestFit="1" customWidth="1"/>
    <col min="5" max="5" width="13" style="36" bestFit="1" customWidth="1"/>
    <col min="6" max="6" width="13.59765625" style="20" bestFit="1" customWidth="1"/>
    <col min="7" max="7" width="9.59765625" style="20" bestFit="1" customWidth="1"/>
    <col min="8" max="8" width="12.73046875" style="20" customWidth="1"/>
  </cols>
  <sheetData>
    <row r="1" spans="1:12" ht="51.7" customHeight="1" thickBot="1" x14ac:dyDescent="0.5">
      <c r="A1" s="1"/>
      <c r="B1" s="244" t="s">
        <v>96</v>
      </c>
      <c r="C1" s="244"/>
      <c r="D1" s="244"/>
      <c r="E1" s="244"/>
      <c r="F1" s="244"/>
      <c r="G1" s="244"/>
      <c r="H1" s="244"/>
      <c r="I1" s="244"/>
      <c r="J1" s="244"/>
      <c r="K1" s="244"/>
      <c r="L1" s="244"/>
    </row>
    <row r="2" spans="1:12" ht="18.75" customHeight="1" thickTop="1" x14ac:dyDescent="0.45">
      <c r="A2" s="3" t="s">
        <v>61</v>
      </c>
      <c r="B2" s="103" t="str">
        <f>'Method Summary'!E3</f>
        <v>Urine and Serum</v>
      </c>
      <c r="C2" s="104"/>
      <c r="D2" s="104"/>
      <c r="E2" s="105"/>
      <c r="F2" s="104"/>
      <c r="G2" s="113"/>
    </row>
    <row r="3" spans="1:12" ht="18.75" customHeight="1" thickBot="1" x14ac:dyDescent="0.5">
      <c r="A3" s="3" t="s">
        <v>5</v>
      </c>
      <c r="B3" s="106" t="str">
        <f>'Method Summary'!C8</f>
        <v>umol/L</v>
      </c>
      <c r="C3" s="107"/>
      <c r="D3" s="107"/>
      <c r="E3" s="108"/>
      <c r="F3" s="107"/>
      <c r="G3" s="114"/>
    </row>
    <row r="4" spans="1:12" ht="18.75" customHeight="1" thickTop="1" x14ac:dyDescent="0.5">
      <c r="A4" s="109" t="s">
        <v>45</v>
      </c>
      <c r="B4" s="110"/>
      <c r="C4" s="2"/>
      <c r="D4" s="2"/>
      <c r="E4" s="32"/>
      <c r="F4" s="2"/>
    </row>
    <row r="5" spans="1:12" ht="18.75" customHeight="1" x14ac:dyDescent="0.5">
      <c r="A5" s="111" t="s">
        <v>51</v>
      </c>
      <c r="B5" s="112" t="s">
        <v>52</v>
      </c>
      <c r="C5" s="2"/>
      <c r="D5" s="2"/>
      <c r="E5" s="32"/>
      <c r="F5" s="2"/>
    </row>
    <row r="6" spans="1:12" ht="18.75" customHeight="1" x14ac:dyDescent="0.5">
      <c r="A6" s="111" t="s">
        <v>53</v>
      </c>
      <c r="B6" s="112" t="s">
        <v>54</v>
      </c>
      <c r="C6" s="2"/>
      <c r="D6" s="2"/>
      <c r="E6" s="32"/>
      <c r="F6" s="2"/>
    </row>
    <row r="7" spans="1:12" ht="18.75" customHeight="1" x14ac:dyDescent="0.5">
      <c r="A7" s="111"/>
      <c r="B7" s="112" t="s">
        <v>55</v>
      </c>
      <c r="C7" s="2"/>
      <c r="D7" s="2"/>
      <c r="E7" s="32"/>
      <c r="F7" s="2"/>
    </row>
    <row r="8" spans="1:12" ht="18.75" customHeight="1" x14ac:dyDescent="0.5">
      <c r="A8" s="111" t="s">
        <v>56</v>
      </c>
      <c r="B8" s="110" t="s">
        <v>84</v>
      </c>
      <c r="C8" s="2"/>
      <c r="D8" s="2"/>
      <c r="E8" s="32"/>
      <c r="F8" s="2"/>
    </row>
    <row r="9" spans="1:12" ht="18.75" customHeight="1" thickBot="1" x14ac:dyDescent="0.55000000000000004">
      <c r="A9" s="111"/>
      <c r="B9" s="110"/>
      <c r="C9" s="2"/>
      <c r="D9" s="2"/>
      <c r="E9" s="32"/>
      <c r="F9" s="2"/>
    </row>
    <row r="10" spans="1:12" ht="18.75" customHeight="1" thickTop="1" x14ac:dyDescent="0.45">
      <c r="A10" s="144" t="s">
        <v>46</v>
      </c>
      <c r="B10" s="115"/>
      <c r="C10" s="105"/>
      <c r="D10" s="104"/>
      <c r="E10" s="116"/>
      <c r="G10" s="235" t="s">
        <v>131</v>
      </c>
      <c r="H10" s="236"/>
      <c r="I10" s="236"/>
      <c r="J10" s="236"/>
      <c r="K10" s="236"/>
      <c r="L10" s="237"/>
    </row>
    <row r="11" spans="1:12" ht="18.75" customHeight="1" x14ac:dyDescent="0.45">
      <c r="A11" s="144" t="s">
        <v>47</v>
      </c>
      <c r="B11" s="117"/>
      <c r="C11" s="5"/>
      <c r="D11" s="5"/>
      <c r="E11" s="118"/>
      <c r="G11" s="238"/>
      <c r="H11" s="239"/>
      <c r="I11" s="239"/>
      <c r="J11" s="239"/>
      <c r="K11" s="239"/>
      <c r="L11" s="240"/>
    </row>
    <row r="12" spans="1:12" ht="18.75" customHeight="1" x14ac:dyDescent="0.45">
      <c r="A12" s="144" t="s">
        <v>48</v>
      </c>
      <c r="B12" s="119"/>
      <c r="C12" s="34"/>
      <c r="D12" s="5"/>
      <c r="E12" s="118"/>
      <c r="G12" s="238"/>
      <c r="H12" s="239"/>
      <c r="I12" s="239"/>
      <c r="J12" s="239"/>
      <c r="K12" s="239"/>
      <c r="L12" s="240"/>
    </row>
    <row r="13" spans="1:12" ht="18.75" customHeight="1" x14ac:dyDescent="0.45">
      <c r="A13" s="144" t="s">
        <v>49</v>
      </c>
      <c r="B13" s="120"/>
      <c r="C13" s="34"/>
      <c r="D13" s="5"/>
      <c r="E13" s="118"/>
      <c r="G13" s="238"/>
      <c r="H13" s="239"/>
      <c r="I13" s="239"/>
      <c r="J13" s="239"/>
      <c r="K13" s="239"/>
      <c r="L13" s="240"/>
    </row>
    <row r="14" spans="1:12" ht="18.75" customHeight="1" x14ac:dyDescent="0.45">
      <c r="A14" s="144" t="s">
        <v>50</v>
      </c>
      <c r="B14" s="121"/>
      <c r="C14" s="5"/>
      <c r="D14" s="5"/>
      <c r="E14" s="118"/>
      <c r="G14" s="238"/>
      <c r="H14" s="239"/>
      <c r="I14" s="239"/>
      <c r="J14" s="239"/>
      <c r="K14" s="239"/>
      <c r="L14" s="240"/>
    </row>
    <row r="15" spans="1:12" ht="18.75" customHeight="1" thickBot="1" x14ac:dyDescent="0.5">
      <c r="A15" s="144" t="s">
        <v>76</v>
      </c>
      <c r="B15" s="143"/>
      <c r="C15" s="122"/>
      <c r="D15" s="122"/>
      <c r="E15" s="123"/>
      <c r="F15" s="2"/>
      <c r="G15" s="241"/>
      <c r="H15" s="242"/>
      <c r="I15" s="242"/>
      <c r="J15" s="242"/>
      <c r="K15" s="242"/>
      <c r="L15" s="243"/>
    </row>
    <row r="16" spans="1:12" ht="18.75" customHeight="1" thickTop="1" x14ac:dyDescent="0.45">
      <c r="C16" s="2"/>
      <c r="D16" s="2"/>
      <c r="E16" s="32"/>
      <c r="F16" s="2"/>
    </row>
    <row r="17" spans="1:33" ht="18.75" customHeight="1" thickBot="1" x14ac:dyDescent="0.55000000000000004">
      <c r="B17" s="124" t="s">
        <v>128</v>
      </c>
      <c r="J17" s="124" t="s">
        <v>129</v>
      </c>
      <c r="K17" s="20"/>
      <c r="L17" s="20"/>
      <c r="M17" s="36"/>
      <c r="N17" s="20"/>
      <c r="O17" s="20"/>
      <c r="P17" s="20"/>
      <c r="S17" s="124" t="s">
        <v>130</v>
      </c>
      <c r="T17" s="20"/>
      <c r="U17" s="20"/>
      <c r="V17" s="36"/>
      <c r="W17" s="20"/>
      <c r="X17" s="20"/>
      <c r="Y17" s="20"/>
      <c r="AA17" s="124" t="s">
        <v>132</v>
      </c>
      <c r="AB17" s="20"/>
      <c r="AC17" s="20"/>
      <c r="AD17" s="36"/>
      <c r="AE17" s="20"/>
      <c r="AF17" s="20"/>
      <c r="AG17" s="20"/>
    </row>
    <row r="18" spans="1:33" ht="18.75" customHeight="1" x14ac:dyDescent="0.5">
      <c r="A18" s="35" t="s">
        <v>59</v>
      </c>
      <c r="B18" s="125" t="s">
        <v>57</v>
      </c>
      <c r="C18" s="126" t="s">
        <v>58</v>
      </c>
      <c r="D18" s="126" t="s">
        <v>25</v>
      </c>
      <c r="E18" s="127" t="s">
        <v>59</v>
      </c>
      <c r="F18" s="126" t="s">
        <v>16</v>
      </c>
      <c r="G18" s="126" t="s">
        <v>60</v>
      </c>
      <c r="H18" s="128" t="s">
        <v>83</v>
      </c>
      <c r="I18" s="44"/>
      <c r="J18" s="125" t="s">
        <v>57</v>
      </c>
      <c r="K18" s="126" t="s">
        <v>58</v>
      </c>
      <c r="L18" s="126" t="s">
        <v>25</v>
      </c>
      <c r="M18" s="127" t="s">
        <v>59</v>
      </c>
      <c r="N18" s="126" t="s">
        <v>16</v>
      </c>
      <c r="O18" s="126" t="s">
        <v>60</v>
      </c>
      <c r="P18" s="128" t="s">
        <v>83</v>
      </c>
      <c r="Q18" s="44"/>
      <c r="R18" s="35" t="s">
        <v>59</v>
      </c>
      <c r="S18" s="125" t="s">
        <v>57</v>
      </c>
      <c r="T18" s="126" t="s">
        <v>58</v>
      </c>
      <c r="U18" s="126" t="s">
        <v>25</v>
      </c>
      <c r="V18" s="127" t="s">
        <v>59</v>
      </c>
      <c r="W18" s="126" t="s">
        <v>16</v>
      </c>
      <c r="X18" s="126" t="s">
        <v>60</v>
      </c>
      <c r="Y18" s="128" t="s">
        <v>83</v>
      </c>
      <c r="AA18" s="125" t="s">
        <v>57</v>
      </c>
      <c r="AB18" s="126" t="s">
        <v>58</v>
      </c>
      <c r="AC18" s="126" t="s">
        <v>25</v>
      </c>
      <c r="AD18" s="127" t="s">
        <v>59</v>
      </c>
      <c r="AE18" s="126" t="s">
        <v>16</v>
      </c>
      <c r="AF18" s="126" t="s">
        <v>60</v>
      </c>
      <c r="AG18" s="128" t="s">
        <v>83</v>
      </c>
    </row>
    <row r="19" spans="1:33" ht="18.75" customHeight="1" x14ac:dyDescent="0.5">
      <c r="B19" s="129">
        <f>INT((ROW()-23)/4)+1</f>
        <v>0</v>
      </c>
      <c r="C19" s="130">
        <v>1</v>
      </c>
      <c r="D19" s="130">
        <v>1</v>
      </c>
      <c r="E19" s="131"/>
      <c r="F19" s="130"/>
      <c r="G19" s="130"/>
      <c r="H19" s="132"/>
      <c r="I19" s="44"/>
      <c r="J19" s="129">
        <f>INT((ROW()-23)/4)+1</f>
        <v>0</v>
      </c>
      <c r="K19" s="130">
        <v>1</v>
      </c>
      <c r="L19" s="130">
        <v>1</v>
      </c>
      <c r="M19" s="131"/>
      <c r="N19" s="130"/>
      <c r="O19" s="130"/>
      <c r="P19" s="132"/>
      <c r="Q19" s="44"/>
      <c r="R19" s="44"/>
      <c r="S19" s="129">
        <f>INT((ROW()-23)/4)+1</f>
        <v>0</v>
      </c>
      <c r="T19" s="130">
        <v>1</v>
      </c>
      <c r="U19" s="130">
        <v>1</v>
      </c>
      <c r="V19" s="131"/>
      <c r="W19" s="130"/>
      <c r="X19" s="130"/>
      <c r="Y19" s="132"/>
      <c r="AA19" s="129">
        <f>INT((ROW()-23)/4)+1</f>
        <v>0</v>
      </c>
      <c r="AB19" s="130">
        <v>1</v>
      </c>
      <c r="AC19" s="130">
        <v>1</v>
      </c>
      <c r="AD19" s="131"/>
      <c r="AE19" s="130"/>
      <c r="AF19" s="130"/>
      <c r="AG19" s="132"/>
    </row>
    <row r="20" spans="1:33" ht="18.75" customHeight="1" x14ac:dyDescent="0.5">
      <c r="B20" s="133">
        <f>INT((ROW()-23)/4)+1</f>
        <v>0</v>
      </c>
      <c r="C20" s="134">
        <v>1</v>
      </c>
      <c r="D20" s="134">
        <v>2</v>
      </c>
      <c r="E20" s="135"/>
      <c r="F20" s="134"/>
      <c r="G20" s="134"/>
      <c r="H20" s="136"/>
      <c r="I20" s="44"/>
      <c r="J20" s="133">
        <f t="shared" ref="J20:J83" si="0">INT((ROW()-23)/4)+1</f>
        <v>0</v>
      </c>
      <c r="K20" s="134">
        <v>1</v>
      </c>
      <c r="L20" s="134">
        <v>2</v>
      </c>
      <c r="M20" s="135"/>
      <c r="N20" s="134"/>
      <c r="O20" s="134"/>
      <c r="P20" s="136"/>
      <c r="Q20" s="44"/>
      <c r="R20" s="44"/>
      <c r="S20" s="133">
        <f t="shared" ref="S20:S83" si="1">INT((ROW()-23)/4)+1</f>
        <v>0</v>
      </c>
      <c r="T20" s="134">
        <v>1</v>
      </c>
      <c r="U20" s="134">
        <v>2</v>
      </c>
      <c r="V20" s="135"/>
      <c r="W20" s="134"/>
      <c r="X20" s="134"/>
      <c r="Y20" s="136"/>
      <c r="AA20" s="133">
        <f t="shared" ref="AA20:AA83" si="2">INT((ROW()-23)/4)+1</f>
        <v>0</v>
      </c>
      <c r="AB20" s="134">
        <v>1</v>
      </c>
      <c r="AC20" s="134">
        <v>2</v>
      </c>
      <c r="AD20" s="135"/>
      <c r="AE20" s="134"/>
      <c r="AF20" s="134"/>
      <c r="AG20" s="136"/>
    </row>
    <row r="21" spans="1:33" ht="18.75" customHeight="1" x14ac:dyDescent="0.5">
      <c r="B21" s="129">
        <f t="shared" ref="B21:B83" si="3">INT((ROW()-23)/4)+1</f>
        <v>0</v>
      </c>
      <c r="C21" s="130">
        <v>2</v>
      </c>
      <c r="D21" s="130">
        <v>1</v>
      </c>
      <c r="E21" s="131"/>
      <c r="F21" s="130"/>
      <c r="G21" s="130"/>
      <c r="H21" s="132"/>
      <c r="I21" s="44"/>
      <c r="J21" s="129">
        <f t="shared" si="0"/>
        <v>0</v>
      </c>
      <c r="K21" s="130">
        <v>2</v>
      </c>
      <c r="L21" s="130">
        <v>1</v>
      </c>
      <c r="M21" s="131"/>
      <c r="N21" s="130"/>
      <c r="O21" s="130"/>
      <c r="P21" s="132"/>
      <c r="Q21" s="44"/>
      <c r="R21" s="44"/>
      <c r="S21" s="129">
        <f t="shared" si="1"/>
        <v>0</v>
      </c>
      <c r="T21" s="130">
        <v>2</v>
      </c>
      <c r="U21" s="130">
        <v>1</v>
      </c>
      <c r="V21" s="131"/>
      <c r="W21" s="130"/>
      <c r="X21" s="130"/>
      <c r="Y21" s="132"/>
      <c r="AA21" s="129">
        <f t="shared" si="2"/>
        <v>0</v>
      </c>
      <c r="AB21" s="130">
        <v>2</v>
      </c>
      <c r="AC21" s="130">
        <v>1</v>
      </c>
      <c r="AD21" s="131"/>
      <c r="AE21" s="130"/>
      <c r="AF21" s="130"/>
      <c r="AG21" s="132"/>
    </row>
    <row r="22" spans="1:33" ht="18.75" customHeight="1" x14ac:dyDescent="0.5">
      <c r="B22" s="133">
        <f t="shared" si="3"/>
        <v>0</v>
      </c>
      <c r="C22" s="134">
        <v>2</v>
      </c>
      <c r="D22" s="134">
        <v>2</v>
      </c>
      <c r="E22" s="135"/>
      <c r="F22" s="134"/>
      <c r="G22" s="134"/>
      <c r="H22" s="136"/>
      <c r="I22" s="44"/>
      <c r="J22" s="133">
        <f t="shared" si="0"/>
        <v>0</v>
      </c>
      <c r="K22" s="134">
        <v>2</v>
      </c>
      <c r="L22" s="134">
        <v>2</v>
      </c>
      <c r="M22" s="135"/>
      <c r="N22" s="134"/>
      <c r="O22" s="134"/>
      <c r="P22" s="136"/>
      <c r="Q22" s="44"/>
      <c r="R22" s="44"/>
      <c r="S22" s="133">
        <f t="shared" si="1"/>
        <v>0</v>
      </c>
      <c r="T22" s="134">
        <v>2</v>
      </c>
      <c r="U22" s="134">
        <v>2</v>
      </c>
      <c r="V22" s="135"/>
      <c r="W22" s="134"/>
      <c r="X22" s="134"/>
      <c r="Y22" s="136"/>
      <c r="AA22" s="133">
        <f t="shared" si="2"/>
        <v>0</v>
      </c>
      <c r="AB22" s="134">
        <v>2</v>
      </c>
      <c r="AC22" s="134">
        <v>2</v>
      </c>
      <c r="AD22" s="135"/>
      <c r="AE22" s="134"/>
      <c r="AF22" s="134"/>
      <c r="AG22" s="136"/>
    </row>
    <row r="23" spans="1:33" ht="18.75" customHeight="1" x14ac:dyDescent="0.5">
      <c r="B23" s="137">
        <f t="shared" si="3"/>
        <v>1</v>
      </c>
      <c r="C23" s="130">
        <v>1</v>
      </c>
      <c r="D23" s="130">
        <v>1</v>
      </c>
      <c r="E23" s="131"/>
      <c r="F23" s="130"/>
      <c r="G23" s="130"/>
      <c r="H23" s="132"/>
      <c r="I23" s="44"/>
      <c r="J23" s="137">
        <f t="shared" si="0"/>
        <v>1</v>
      </c>
      <c r="K23" s="130">
        <v>1</v>
      </c>
      <c r="L23" s="130">
        <v>1</v>
      </c>
      <c r="M23" s="131"/>
      <c r="N23" s="130"/>
      <c r="O23" s="130"/>
      <c r="P23" s="132"/>
      <c r="Q23" s="44"/>
      <c r="R23" s="44"/>
      <c r="S23" s="137">
        <f t="shared" si="1"/>
        <v>1</v>
      </c>
      <c r="T23" s="130">
        <v>1</v>
      </c>
      <c r="U23" s="130">
        <v>1</v>
      </c>
      <c r="V23" s="131"/>
      <c r="W23" s="130"/>
      <c r="X23" s="130"/>
      <c r="Y23" s="132"/>
      <c r="AA23" s="137">
        <f t="shared" si="2"/>
        <v>1</v>
      </c>
      <c r="AB23" s="130">
        <v>1</v>
      </c>
      <c r="AC23" s="130">
        <v>1</v>
      </c>
      <c r="AD23" s="131"/>
      <c r="AE23" s="130"/>
      <c r="AF23" s="130"/>
      <c r="AG23" s="132"/>
    </row>
    <row r="24" spans="1:33" ht="18.75" customHeight="1" x14ac:dyDescent="0.5">
      <c r="B24" s="138">
        <f t="shared" si="3"/>
        <v>1</v>
      </c>
      <c r="C24" s="134">
        <v>1</v>
      </c>
      <c r="D24" s="134">
        <v>2</v>
      </c>
      <c r="E24" s="135"/>
      <c r="F24" s="134"/>
      <c r="G24" s="134"/>
      <c r="H24" s="136"/>
      <c r="I24" s="44"/>
      <c r="J24" s="138">
        <f t="shared" si="0"/>
        <v>1</v>
      </c>
      <c r="K24" s="134">
        <v>1</v>
      </c>
      <c r="L24" s="134">
        <v>2</v>
      </c>
      <c r="M24" s="135"/>
      <c r="N24" s="134"/>
      <c r="O24" s="134"/>
      <c r="P24" s="136"/>
      <c r="Q24" s="44"/>
      <c r="R24" s="44"/>
      <c r="S24" s="138">
        <f t="shared" si="1"/>
        <v>1</v>
      </c>
      <c r="T24" s="134">
        <v>1</v>
      </c>
      <c r="U24" s="134">
        <v>2</v>
      </c>
      <c r="V24" s="135"/>
      <c r="W24" s="134"/>
      <c r="X24" s="134"/>
      <c r="Y24" s="136"/>
      <c r="AA24" s="138">
        <f t="shared" si="2"/>
        <v>1</v>
      </c>
      <c r="AB24" s="134">
        <v>1</v>
      </c>
      <c r="AC24" s="134">
        <v>2</v>
      </c>
      <c r="AD24" s="135"/>
      <c r="AE24" s="134"/>
      <c r="AF24" s="134"/>
      <c r="AG24" s="136"/>
    </row>
    <row r="25" spans="1:33" ht="18.75" customHeight="1" x14ac:dyDescent="0.5">
      <c r="B25" s="137">
        <f t="shared" si="3"/>
        <v>1</v>
      </c>
      <c r="C25" s="130">
        <v>2</v>
      </c>
      <c r="D25" s="130">
        <v>1</v>
      </c>
      <c r="E25" s="131"/>
      <c r="F25" s="130"/>
      <c r="G25" s="130"/>
      <c r="H25" s="132"/>
      <c r="I25" s="44"/>
      <c r="J25" s="137">
        <f t="shared" si="0"/>
        <v>1</v>
      </c>
      <c r="K25" s="130">
        <v>2</v>
      </c>
      <c r="L25" s="130">
        <v>1</v>
      </c>
      <c r="M25" s="131"/>
      <c r="N25" s="130"/>
      <c r="O25" s="130"/>
      <c r="P25" s="132"/>
      <c r="Q25" s="44"/>
      <c r="R25" s="44"/>
      <c r="S25" s="137">
        <f t="shared" si="1"/>
        <v>1</v>
      </c>
      <c r="T25" s="130">
        <v>2</v>
      </c>
      <c r="U25" s="130">
        <v>1</v>
      </c>
      <c r="V25" s="131"/>
      <c r="W25" s="130"/>
      <c r="X25" s="130"/>
      <c r="Y25" s="132"/>
      <c r="AA25" s="137">
        <f t="shared" si="2"/>
        <v>1</v>
      </c>
      <c r="AB25" s="130">
        <v>2</v>
      </c>
      <c r="AC25" s="130">
        <v>1</v>
      </c>
      <c r="AD25" s="131"/>
      <c r="AE25" s="130"/>
      <c r="AF25" s="130"/>
      <c r="AG25" s="132"/>
    </row>
    <row r="26" spans="1:33" ht="18.75" customHeight="1" x14ac:dyDescent="0.5">
      <c r="B26" s="138">
        <f t="shared" si="3"/>
        <v>1</v>
      </c>
      <c r="C26" s="134">
        <v>2</v>
      </c>
      <c r="D26" s="134">
        <v>2</v>
      </c>
      <c r="E26" s="135"/>
      <c r="F26" s="134"/>
      <c r="G26" s="134"/>
      <c r="H26" s="136"/>
      <c r="I26" s="44"/>
      <c r="J26" s="138">
        <f t="shared" si="0"/>
        <v>1</v>
      </c>
      <c r="K26" s="134">
        <v>2</v>
      </c>
      <c r="L26" s="134">
        <v>2</v>
      </c>
      <c r="M26" s="135"/>
      <c r="N26" s="134"/>
      <c r="O26" s="134"/>
      <c r="P26" s="136"/>
      <c r="Q26" s="44"/>
      <c r="R26" s="44"/>
      <c r="S26" s="138">
        <f t="shared" si="1"/>
        <v>1</v>
      </c>
      <c r="T26" s="134">
        <v>2</v>
      </c>
      <c r="U26" s="134">
        <v>2</v>
      </c>
      <c r="V26" s="135"/>
      <c r="W26" s="134"/>
      <c r="X26" s="134"/>
      <c r="Y26" s="136"/>
      <c r="AA26" s="138">
        <f t="shared" si="2"/>
        <v>1</v>
      </c>
      <c r="AB26" s="134">
        <v>2</v>
      </c>
      <c r="AC26" s="134">
        <v>2</v>
      </c>
      <c r="AD26" s="135"/>
      <c r="AE26" s="134"/>
      <c r="AF26" s="134"/>
      <c r="AG26" s="136"/>
    </row>
    <row r="27" spans="1:33" ht="18.75" customHeight="1" x14ac:dyDescent="0.5">
      <c r="B27" s="129">
        <f t="shared" si="3"/>
        <v>2</v>
      </c>
      <c r="C27" s="130">
        <v>1</v>
      </c>
      <c r="D27" s="130">
        <v>1</v>
      </c>
      <c r="E27" s="131"/>
      <c r="F27" s="130"/>
      <c r="G27" s="130"/>
      <c r="H27" s="132"/>
      <c r="I27" s="44"/>
      <c r="J27" s="129">
        <f t="shared" si="0"/>
        <v>2</v>
      </c>
      <c r="K27" s="130">
        <v>1</v>
      </c>
      <c r="L27" s="130">
        <v>1</v>
      </c>
      <c r="M27" s="131"/>
      <c r="N27" s="130"/>
      <c r="O27" s="130"/>
      <c r="P27" s="132"/>
      <c r="Q27" s="44"/>
      <c r="R27" s="44"/>
      <c r="S27" s="129">
        <f t="shared" si="1"/>
        <v>2</v>
      </c>
      <c r="T27" s="130">
        <v>1</v>
      </c>
      <c r="U27" s="130">
        <v>1</v>
      </c>
      <c r="V27" s="131"/>
      <c r="W27" s="130"/>
      <c r="X27" s="130"/>
      <c r="Y27" s="132"/>
      <c r="AA27" s="129">
        <f t="shared" si="2"/>
        <v>2</v>
      </c>
      <c r="AB27" s="130">
        <v>1</v>
      </c>
      <c r="AC27" s="130">
        <v>1</v>
      </c>
      <c r="AD27" s="131"/>
      <c r="AE27" s="130"/>
      <c r="AF27" s="130"/>
      <c r="AG27" s="132"/>
    </row>
    <row r="28" spans="1:33" ht="18.75" customHeight="1" x14ac:dyDescent="0.5">
      <c r="B28" s="133">
        <f t="shared" si="3"/>
        <v>2</v>
      </c>
      <c r="C28" s="134">
        <v>1</v>
      </c>
      <c r="D28" s="134">
        <v>2</v>
      </c>
      <c r="E28" s="135"/>
      <c r="F28" s="134"/>
      <c r="G28" s="134"/>
      <c r="H28" s="136"/>
      <c r="I28" s="44"/>
      <c r="J28" s="133">
        <f t="shared" si="0"/>
        <v>2</v>
      </c>
      <c r="K28" s="134">
        <v>1</v>
      </c>
      <c r="L28" s="134">
        <v>2</v>
      </c>
      <c r="M28" s="135"/>
      <c r="N28" s="134"/>
      <c r="O28" s="134"/>
      <c r="P28" s="136"/>
      <c r="Q28" s="44"/>
      <c r="R28" s="44"/>
      <c r="S28" s="133">
        <f t="shared" si="1"/>
        <v>2</v>
      </c>
      <c r="T28" s="134">
        <v>1</v>
      </c>
      <c r="U28" s="134">
        <v>2</v>
      </c>
      <c r="V28" s="135"/>
      <c r="W28" s="134"/>
      <c r="X28" s="134"/>
      <c r="Y28" s="136"/>
      <c r="AA28" s="133">
        <f t="shared" si="2"/>
        <v>2</v>
      </c>
      <c r="AB28" s="134">
        <v>1</v>
      </c>
      <c r="AC28" s="134">
        <v>2</v>
      </c>
      <c r="AD28" s="135"/>
      <c r="AE28" s="134"/>
      <c r="AF28" s="134"/>
      <c r="AG28" s="136"/>
    </row>
    <row r="29" spans="1:33" ht="18.75" customHeight="1" x14ac:dyDescent="0.5">
      <c r="B29" s="129">
        <f t="shared" si="3"/>
        <v>2</v>
      </c>
      <c r="C29" s="130">
        <v>2</v>
      </c>
      <c r="D29" s="130">
        <v>1</v>
      </c>
      <c r="E29" s="131"/>
      <c r="F29" s="130"/>
      <c r="G29" s="130"/>
      <c r="H29" s="132"/>
      <c r="I29" s="44"/>
      <c r="J29" s="129">
        <f t="shared" si="0"/>
        <v>2</v>
      </c>
      <c r="K29" s="130">
        <v>2</v>
      </c>
      <c r="L29" s="130">
        <v>1</v>
      </c>
      <c r="M29" s="131"/>
      <c r="N29" s="130"/>
      <c r="O29" s="130"/>
      <c r="P29" s="132"/>
      <c r="Q29" s="44"/>
      <c r="R29" s="44"/>
      <c r="S29" s="129">
        <f t="shared" si="1"/>
        <v>2</v>
      </c>
      <c r="T29" s="130">
        <v>2</v>
      </c>
      <c r="U29" s="130">
        <v>1</v>
      </c>
      <c r="V29" s="131"/>
      <c r="W29" s="130"/>
      <c r="X29" s="130"/>
      <c r="Y29" s="132"/>
      <c r="AA29" s="129">
        <f t="shared" si="2"/>
        <v>2</v>
      </c>
      <c r="AB29" s="130">
        <v>2</v>
      </c>
      <c r="AC29" s="130">
        <v>1</v>
      </c>
      <c r="AD29" s="131"/>
      <c r="AE29" s="130"/>
      <c r="AF29" s="130"/>
      <c r="AG29" s="132"/>
    </row>
    <row r="30" spans="1:33" ht="18.75" customHeight="1" x14ac:dyDescent="0.5">
      <c r="B30" s="133">
        <f t="shared" si="3"/>
        <v>2</v>
      </c>
      <c r="C30" s="134">
        <v>2</v>
      </c>
      <c r="D30" s="134">
        <v>2</v>
      </c>
      <c r="E30" s="135"/>
      <c r="F30" s="134"/>
      <c r="G30" s="134"/>
      <c r="H30" s="136"/>
      <c r="I30" s="44"/>
      <c r="J30" s="133">
        <f t="shared" si="0"/>
        <v>2</v>
      </c>
      <c r="K30" s="134">
        <v>2</v>
      </c>
      <c r="L30" s="134">
        <v>2</v>
      </c>
      <c r="M30" s="135"/>
      <c r="N30" s="134"/>
      <c r="O30" s="134"/>
      <c r="P30" s="136"/>
      <c r="Q30" s="44"/>
      <c r="R30" s="44"/>
      <c r="S30" s="133">
        <f t="shared" si="1"/>
        <v>2</v>
      </c>
      <c r="T30" s="134">
        <v>2</v>
      </c>
      <c r="U30" s="134">
        <v>2</v>
      </c>
      <c r="V30" s="135"/>
      <c r="W30" s="134"/>
      <c r="X30" s="134"/>
      <c r="Y30" s="136"/>
      <c r="AA30" s="133">
        <f t="shared" si="2"/>
        <v>2</v>
      </c>
      <c r="AB30" s="134">
        <v>2</v>
      </c>
      <c r="AC30" s="134">
        <v>2</v>
      </c>
      <c r="AD30" s="135"/>
      <c r="AE30" s="134"/>
      <c r="AF30" s="134"/>
      <c r="AG30" s="136"/>
    </row>
    <row r="31" spans="1:33" ht="18.75" customHeight="1" x14ac:dyDescent="0.5">
      <c r="B31" s="137">
        <f t="shared" si="3"/>
        <v>3</v>
      </c>
      <c r="C31" s="130">
        <v>1</v>
      </c>
      <c r="D31" s="130">
        <v>1</v>
      </c>
      <c r="E31" s="131"/>
      <c r="F31" s="130"/>
      <c r="G31" s="130"/>
      <c r="H31" s="132"/>
      <c r="I31" s="44"/>
      <c r="J31" s="137">
        <f t="shared" si="0"/>
        <v>3</v>
      </c>
      <c r="K31" s="130">
        <v>1</v>
      </c>
      <c r="L31" s="130">
        <v>1</v>
      </c>
      <c r="M31" s="131"/>
      <c r="N31" s="130"/>
      <c r="O31" s="130"/>
      <c r="P31" s="132"/>
      <c r="Q31" s="44"/>
      <c r="R31" s="44"/>
      <c r="S31" s="137">
        <f t="shared" si="1"/>
        <v>3</v>
      </c>
      <c r="T31" s="130">
        <v>1</v>
      </c>
      <c r="U31" s="130">
        <v>1</v>
      </c>
      <c r="V31" s="131"/>
      <c r="W31" s="130"/>
      <c r="X31" s="130"/>
      <c r="Y31" s="132"/>
      <c r="AA31" s="137">
        <f t="shared" si="2"/>
        <v>3</v>
      </c>
      <c r="AB31" s="130">
        <v>1</v>
      </c>
      <c r="AC31" s="130">
        <v>1</v>
      </c>
      <c r="AD31" s="131"/>
      <c r="AE31" s="130"/>
      <c r="AF31" s="130"/>
      <c r="AG31" s="132"/>
    </row>
    <row r="32" spans="1:33" ht="18.75" customHeight="1" x14ac:dyDescent="0.5">
      <c r="B32" s="138">
        <f t="shared" si="3"/>
        <v>3</v>
      </c>
      <c r="C32" s="134">
        <v>1</v>
      </c>
      <c r="D32" s="134">
        <v>2</v>
      </c>
      <c r="E32" s="135"/>
      <c r="F32" s="134"/>
      <c r="G32" s="134"/>
      <c r="H32" s="136"/>
      <c r="I32" s="44"/>
      <c r="J32" s="138">
        <f t="shared" si="0"/>
        <v>3</v>
      </c>
      <c r="K32" s="134">
        <v>1</v>
      </c>
      <c r="L32" s="134">
        <v>2</v>
      </c>
      <c r="M32" s="135"/>
      <c r="N32" s="134"/>
      <c r="O32" s="134"/>
      <c r="P32" s="136"/>
      <c r="Q32" s="44"/>
      <c r="R32" s="44"/>
      <c r="S32" s="138">
        <f t="shared" si="1"/>
        <v>3</v>
      </c>
      <c r="T32" s="134">
        <v>1</v>
      </c>
      <c r="U32" s="134">
        <v>2</v>
      </c>
      <c r="V32" s="135"/>
      <c r="W32" s="134"/>
      <c r="X32" s="134"/>
      <c r="Y32" s="136"/>
      <c r="AA32" s="138">
        <f t="shared" si="2"/>
        <v>3</v>
      </c>
      <c r="AB32" s="134">
        <v>1</v>
      </c>
      <c r="AC32" s="134">
        <v>2</v>
      </c>
      <c r="AD32" s="135"/>
      <c r="AE32" s="134"/>
      <c r="AF32" s="134"/>
      <c r="AG32" s="136"/>
    </row>
    <row r="33" spans="2:33" ht="18.75" customHeight="1" x14ac:dyDescent="0.5">
      <c r="B33" s="137">
        <f t="shared" si="3"/>
        <v>3</v>
      </c>
      <c r="C33" s="130">
        <v>2</v>
      </c>
      <c r="D33" s="130">
        <v>1</v>
      </c>
      <c r="E33" s="131"/>
      <c r="F33" s="130"/>
      <c r="G33" s="130"/>
      <c r="H33" s="132"/>
      <c r="I33" s="44"/>
      <c r="J33" s="137">
        <f t="shared" si="0"/>
        <v>3</v>
      </c>
      <c r="K33" s="130">
        <v>2</v>
      </c>
      <c r="L33" s="130">
        <v>1</v>
      </c>
      <c r="M33" s="131"/>
      <c r="N33" s="130"/>
      <c r="O33" s="130"/>
      <c r="P33" s="132"/>
      <c r="Q33" s="44"/>
      <c r="R33" s="44"/>
      <c r="S33" s="137">
        <f t="shared" si="1"/>
        <v>3</v>
      </c>
      <c r="T33" s="130">
        <v>2</v>
      </c>
      <c r="U33" s="130">
        <v>1</v>
      </c>
      <c r="V33" s="131"/>
      <c r="W33" s="130"/>
      <c r="X33" s="130"/>
      <c r="Y33" s="132"/>
      <c r="AA33" s="137">
        <f t="shared" si="2"/>
        <v>3</v>
      </c>
      <c r="AB33" s="130">
        <v>2</v>
      </c>
      <c r="AC33" s="130">
        <v>1</v>
      </c>
      <c r="AD33" s="131"/>
      <c r="AE33" s="130"/>
      <c r="AF33" s="130"/>
      <c r="AG33" s="132"/>
    </row>
    <row r="34" spans="2:33" ht="18.75" customHeight="1" x14ac:dyDescent="0.5">
      <c r="B34" s="138">
        <f t="shared" si="3"/>
        <v>3</v>
      </c>
      <c r="C34" s="134">
        <v>2</v>
      </c>
      <c r="D34" s="134">
        <v>2</v>
      </c>
      <c r="E34" s="135"/>
      <c r="F34" s="134"/>
      <c r="G34" s="134"/>
      <c r="H34" s="136"/>
      <c r="I34" s="44"/>
      <c r="J34" s="138">
        <f t="shared" si="0"/>
        <v>3</v>
      </c>
      <c r="K34" s="134">
        <v>2</v>
      </c>
      <c r="L34" s="134">
        <v>2</v>
      </c>
      <c r="M34" s="135"/>
      <c r="N34" s="134"/>
      <c r="O34" s="134"/>
      <c r="P34" s="136"/>
      <c r="Q34" s="44"/>
      <c r="R34" s="44"/>
      <c r="S34" s="138">
        <f t="shared" si="1"/>
        <v>3</v>
      </c>
      <c r="T34" s="134">
        <v>2</v>
      </c>
      <c r="U34" s="134">
        <v>2</v>
      </c>
      <c r="V34" s="135"/>
      <c r="W34" s="134"/>
      <c r="X34" s="134"/>
      <c r="Y34" s="136"/>
      <c r="AA34" s="138">
        <f t="shared" si="2"/>
        <v>3</v>
      </c>
      <c r="AB34" s="134">
        <v>2</v>
      </c>
      <c r="AC34" s="134">
        <v>2</v>
      </c>
      <c r="AD34" s="135"/>
      <c r="AE34" s="134"/>
      <c r="AF34" s="134"/>
      <c r="AG34" s="136"/>
    </row>
    <row r="35" spans="2:33" ht="18.75" customHeight="1" x14ac:dyDescent="0.5">
      <c r="B35" s="129">
        <f t="shared" si="3"/>
        <v>4</v>
      </c>
      <c r="C35" s="130">
        <v>1</v>
      </c>
      <c r="D35" s="130">
        <v>1</v>
      </c>
      <c r="E35" s="131"/>
      <c r="F35" s="130"/>
      <c r="G35" s="130"/>
      <c r="H35" s="132"/>
      <c r="I35" s="44"/>
      <c r="J35" s="129">
        <f t="shared" si="0"/>
        <v>4</v>
      </c>
      <c r="K35" s="130">
        <v>1</v>
      </c>
      <c r="L35" s="130">
        <v>1</v>
      </c>
      <c r="M35" s="131"/>
      <c r="N35" s="130"/>
      <c r="O35" s="130"/>
      <c r="P35" s="132"/>
      <c r="Q35" s="44"/>
      <c r="R35" s="44"/>
      <c r="S35" s="129">
        <f t="shared" si="1"/>
        <v>4</v>
      </c>
      <c r="T35" s="130">
        <v>1</v>
      </c>
      <c r="U35" s="130">
        <v>1</v>
      </c>
      <c r="V35" s="131"/>
      <c r="W35" s="130"/>
      <c r="X35" s="130"/>
      <c r="Y35" s="132"/>
      <c r="AA35" s="129">
        <f t="shared" si="2"/>
        <v>4</v>
      </c>
      <c r="AB35" s="130">
        <v>1</v>
      </c>
      <c r="AC35" s="130">
        <v>1</v>
      </c>
      <c r="AD35" s="131"/>
      <c r="AE35" s="130"/>
      <c r="AF35" s="130"/>
      <c r="AG35" s="132"/>
    </row>
    <row r="36" spans="2:33" ht="18.75" customHeight="1" x14ac:dyDescent="0.5">
      <c r="B36" s="133">
        <f t="shared" si="3"/>
        <v>4</v>
      </c>
      <c r="C36" s="134">
        <v>1</v>
      </c>
      <c r="D36" s="134">
        <v>2</v>
      </c>
      <c r="E36" s="135"/>
      <c r="F36" s="134"/>
      <c r="G36" s="134"/>
      <c r="H36" s="136"/>
      <c r="I36" s="44"/>
      <c r="J36" s="133">
        <f t="shared" si="0"/>
        <v>4</v>
      </c>
      <c r="K36" s="134">
        <v>1</v>
      </c>
      <c r="L36" s="134">
        <v>2</v>
      </c>
      <c r="M36" s="135"/>
      <c r="N36" s="134"/>
      <c r="O36" s="134"/>
      <c r="P36" s="136"/>
      <c r="Q36" s="44"/>
      <c r="R36" s="44"/>
      <c r="S36" s="133">
        <f t="shared" si="1"/>
        <v>4</v>
      </c>
      <c r="T36" s="134">
        <v>1</v>
      </c>
      <c r="U36" s="134">
        <v>2</v>
      </c>
      <c r="V36" s="135"/>
      <c r="W36" s="134"/>
      <c r="X36" s="134"/>
      <c r="Y36" s="136"/>
      <c r="AA36" s="133">
        <f t="shared" si="2"/>
        <v>4</v>
      </c>
      <c r="AB36" s="134">
        <v>1</v>
      </c>
      <c r="AC36" s="134">
        <v>2</v>
      </c>
      <c r="AD36" s="135"/>
      <c r="AE36" s="134"/>
      <c r="AF36" s="134"/>
      <c r="AG36" s="136"/>
    </row>
    <row r="37" spans="2:33" ht="18.75" customHeight="1" x14ac:dyDescent="0.5">
      <c r="B37" s="129">
        <f t="shared" si="3"/>
        <v>4</v>
      </c>
      <c r="C37" s="130">
        <v>2</v>
      </c>
      <c r="D37" s="130">
        <v>1</v>
      </c>
      <c r="E37" s="131"/>
      <c r="F37" s="130"/>
      <c r="G37" s="130"/>
      <c r="H37" s="132"/>
      <c r="I37" s="44"/>
      <c r="J37" s="129">
        <f t="shared" si="0"/>
        <v>4</v>
      </c>
      <c r="K37" s="130">
        <v>2</v>
      </c>
      <c r="L37" s="130">
        <v>1</v>
      </c>
      <c r="M37" s="131"/>
      <c r="N37" s="130"/>
      <c r="O37" s="130"/>
      <c r="P37" s="132"/>
      <c r="Q37" s="44"/>
      <c r="R37" s="44"/>
      <c r="S37" s="129">
        <f t="shared" si="1"/>
        <v>4</v>
      </c>
      <c r="T37" s="130">
        <v>2</v>
      </c>
      <c r="U37" s="130">
        <v>1</v>
      </c>
      <c r="V37" s="131"/>
      <c r="W37" s="130"/>
      <c r="X37" s="130"/>
      <c r="Y37" s="132"/>
      <c r="AA37" s="129">
        <f t="shared" si="2"/>
        <v>4</v>
      </c>
      <c r="AB37" s="130">
        <v>2</v>
      </c>
      <c r="AC37" s="130">
        <v>1</v>
      </c>
      <c r="AD37" s="131"/>
      <c r="AE37" s="130"/>
      <c r="AF37" s="130"/>
      <c r="AG37" s="132"/>
    </row>
    <row r="38" spans="2:33" ht="18.75" customHeight="1" x14ac:dyDescent="0.5">
      <c r="B38" s="133">
        <f t="shared" si="3"/>
        <v>4</v>
      </c>
      <c r="C38" s="134">
        <v>2</v>
      </c>
      <c r="D38" s="134">
        <v>2</v>
      </c>
      <c r="E38" s="135"/>
      <c r="F38" s="134"/>
      <c r="G38" s="134"/>
      <c r="H38" s="136"/>
      <c r="I38" s="44"/>
      <c r="J38" s="133">
        <f t="shared" si="0"/>
        <v>4</v>
      </c>
      <c r="K38" s="134">
        <v>2</v>
      </c>
      <c r="L38" s="134">
        <v>2</v>
      </c>
      <c r="M38" s="135"/>
      <c r="N38" s="134"/>
      <c r="O38" s="134"/>
      <c r="P38" s="136"/>
      <c r="Q38" s="44"/>
      <c r="R38" s="44"/>
      <c r="S38" s="133">
        <f t="shared" si="1"/>
        <v>4</v>
      </c>
      <c r="T38" s="134">
        <v>2</v>
      </c>
      <c r="U38" s="134">
        <v>2</v>
      </c>
      <c r="V38" s="135"/>
      <c r="W38" s="134"/>
      <c r="X38" s="134"/>
      <c r="Y38" s="136"/>
      <c r="AA38" s="133">
        <f t="shared" si="2"/>
        <v>4</v>
      </c>
      <c r="AB38" s="134">
        <v>2</v>
      </c>
      <c r="AC38" s="134">
        <v>2</v>
      </c>
      <c r="AD38" s="135"/>
      <c r="AE38" s="134"/>
      <c r="AF38" s="134"/>
      <c r="AG38" s="136"/>
    </row>
    <row r="39" spans="2:33" ht="18.75" customHeight="1" x14ac:dyDescent="0.5">
      <c r="B39" s="137">
        <f t="shared" si="3"/>
        <v>5</v>
      </c>
      <c r="C39" s="130">
        <v>1</v>
      </c>
      <c r="D39" s="130">
        <v>1</v>
      </c>
      <c r="E39" s="131"/>
      <c r="F39" s="130"/>
      <c r="G39" s="130"/>
      <c r="H39" s="132"/>
      <c r="I39" s="44"/>
      <c r="J39" s="137">
        <f t="shared" si="0"/>
        <v>5</v>
      </c>
      <c r="K39" s="130">
        <v>1</v>
      </c>
      <c r="L39" s="130">
        <v>1</v>
      </c>
      <c r="M39" s="131"/>
      <c r="N39" s="130"/>
      <c r="O39" s="130"/>
      <c r="P39" s="132"/>
      <c r="Q39" s="44"/>
      <c r="R39" s="44"/>
      <c r="S39" s="137">
        <f t="shared" si="1"/>
        <v>5</v>
      </c>
      <c r="T39" s="130">
        <v>1</v>
      </c>
      <c r="U39" s="130">
        <v>1</v>
      </c>
      <c r="V39" s="131"/>
      <c r="W39" s="130"/>
      <c r="X39" s="130"/>
      <c r="Y39" s="132"/>
      <c r="AA39" s="137">
        <f t="shared" si="2"/>
        <v>5</v>
      </c>
      <c r="AB39" s="130">
        <v>1</v>
      </c>
      <c r="AC39" s="130">
        <v>1</v>
      </c>
      <c r="AD39" s="131"/>
      <c r="AE39" s="130"/>
      <c r="AF39" s="130"/>
      <c r="AG39" s="132"/>
    </row>
    <row r="40" spans="2:33" ht="18.75" customHeight="1" x14ac:dyDescent="0.5">
      <c r="B40" s="138">
        <f t="shared" si="3"/>
        <v>5</v>
      </c>
      <c r="C40" s="134">
        <v>1</v>
      </c>
      <c r="D40" s="134">
        <v>2</v>
      </c>
      <c r="E40" s="135"/>
      <c r="F40" s="134"/>
      <c r="G40" s="134"/>
      <c r="H40" s="136"/>
      <c r="I40" s="44"/>
      <c r="J40" s="138">
        <f t="shared" si="0"/>
        <v>5</v>
      </c>
      <c r="K40" s="134">
        <v>1</v>
      </c>
      <c r="L40" s="134">
        <v>2</v>
      </c>
      <c r="M40" s="135"/>
      <c r="N40" s="134"/>
      <c r="O40" s="134"/>
      <c r="P40" s="136"/>
      <c r="Q40" s="44"/>
      <c r="R40" s="44"/>
      <c r="S40" s="138">
        <f t="shared" si="1"/>
        <v>5</v>
      </c>
      <c r="T40" s="134">
        <v>1</v>
      </c>
      <c r="U40" s="134">
        <v>2</v>
      </c>
      <c r="V40" s="135"/>
      <c r="W40" s="134"/>
      <c r="X40" s="134"/>
      <c r="Y40" s="136"/>
      <c r="AA40" s="138">
        <f t="shared" si="2"/>
        <v>5</v>
      </c>
      <c r="AB40" s="134">
        <v>1</v>
      </c>
      <c r="AC40" s="134">
        <v>2</v>
      </c>
      <c r="AD40" s="135"/>
      <c r="AE40" s="134"/>
      <c r="AF40" s="134"/>
      <c r="AG40" s="136"/>
    </row>
    <row r="41" spans="2:33" ht="18.75" customHeight="1" x14ac:dyDescent="0.5">
      <c r="B41" s="137">
        <f t="shared" si="3"/>
        <v>5</v>
      </c>
      <c r="C41" s="130">
        <v>2</v>
      </c>
      <c r="D41" s="130">
        <v>1</v>
      </c>
      <c r="E41" s="131"/>
      <c r="F41" s="130"/>
      <c r="G41" s="130"/>
      <c r="H41" s="132"/>
      <c r="I41" s="44"/>
      <c r="J41" s="137">
        <f t="shared" si="0"/>
        <v>5</v>
      </c>
      <c r="K41" s="130">
        <v>2</v>
      </c>
      <c r="L41" s="130">
        <v>1</v>
      </c>
      <c r="M41" s="131"/>
      <c r="N41" s="130"/>
      <c r="O41" s="130"/>
      <c r="P41" s="132"/>
      <c r="Q41" s="44"/>
      <c r="R41" s="44"/>
      <c r="S41" s="137">
        <f t="shared" si="1"/>
        <v>5</v>
      </c>
      <c r="T41" s="130">
        <v>2</v>
      </c>
      <c r="U41" s="130">
        <v>1</v>
      </c>
      <c r="V41" s="131"/>
      <c r="W41" s="130"/>
      <c r="X41" s="130"/>
      <c r="Y41" s="132"/>
      <c r="AA41" s="137">
        <f t="shared" si="2"/>
        <v>5</v>
      </c>
      <c r="AB41" s="130">
        <v>2</v>
      </c>
      <c r="AC41" s="130">
        <v>1</v>
      </c>
      <c r="AD41" s="131"/>
      <c r="AE41" s="130"/>
      <c r="AF41" s="130"/>
      <c r="AG41" s="132"/>
    </row>
    <row r="42" spans="2:33" ht="18.75" customHeight="1" x14ac:dyDescent="0.5">
      <c r="B42" s="138">
        <f t="shared" si="3"/>
        <v>5</v>
      </c>
      <c r="C42" s="134">
        <v>2</v>
      </c>
      <c r="D42" s="134">
        <v>2</v>
      </c>
      <c r="E42" s="135"/>
      <c r="F42" s="134"/>
      <c r="G42" s="134"/>
      <c r="H42" s="136"/>
      <c r="I42" s="44"/>
      <c r="J42" s="138">
        <f t="shared" si="0"/>
        <v>5</v>
      </c>
      <c r="K42" s="134">
        <v>2</v>
      </c>
      <c r="L42" s="134">
        <v>2</v>
      </c>
      <c r="M42" s="135"/>
      <c r="N42" s="134"/>
      <c r="O42" s="134"/>
      <c r="P42" s="136"/>
      <c r="Q42" s="44"/>
      <c r="R42" s="44"/>
      <c r="S42" s="138">
        <f t="shared" si="1"/>
        <v>5</v>
      </c>
      <c r="T42" s="134">
        <v>2</v>
      </c>
      <c r="U42" s="134">
        <v>2</v>
      </c>
      <c r="V42" s="135"/>
      <c r="W42" s="134"/>
      <c r="X42" s="134"/>
      <c r="Y42" s="136"/>
      <c r="AA42" s="138">
        <f t="shared" si="2"/>
        <v>5</v>
      </c>
      <c r="AB42" s="134">
        <v>2</v>
      </c>
      <c r="AC42" s="134">
        <v>2</v>
      </c>
      <c r="AD42" s="135"/>
      <c r="AE42" s="134"/>
      <c r="AF42" s="134"/>
      <c r="AG42" s="136"/>
    </row>
    <row r="43" spans="2:33" ht="18.75" customHeight="1" x14ac:dyDescent="0.5">
      <c r="B43" s="129">
        <f t="shared" si="3"/>
        <v>6</v>
      </c>
      <c r="C43" s="130">
        <v>1</v>
      </c>
      <c r="D43" s="130">
        <v>1</v>
      </c>
      <c r="E43" s="131"/>
      <c r="F43" s="130"/>
      <c r="G43" s="130"/>
      <c r="H43" s="132"/>
      <c r="I43" s="44"/>
      <c r="J43" s="129">
        <f t="shared" si="0"/>
        <v>6</v>
      </c>
      <c r="K43" s="130">
        <v>1</v>
      </c>
      <c r="L43" s="130">
        <v>1</v>
      </c>
      <c r="M43" s="131"/>
      <c r="N43" s="130"/>
      <c r="O43" s="130"/>
      <c r="P43" s="132"/>
      <c r="Q43" s="44"/>
      <c r="R43" s="44"/>
      <c r="S43" s="129">
        <f t="shared" si="1"/>
        <v>6</v>
      </c>
      <c r="T43" s="130">
        <v>1</v>
      </c>
      <c r="U43" s="130">
        <v>1</v>
      </c>
      <c r="V43" s="131"/>
      <c r="W43" s="130"/>
      <c r="X43" s="130"/>
      <c r="Y43" s="132"/>
      <c r="AA43" s="129">
        <f t="shared" si="2"/>
        <v>6</v>
      </c>
      <c r="AB43" s="130">
        <v>1</v>
      </c>
      <c r="AC43" s="130">
        <v>1</v>
      </c>
      <c r="AD43" s="131"/>
      <c r="AE43" s="130"/>
      <c r="AF43" s="130"/>
      <c r="AG43" s="132"/>
    </row>
    <row r="44" spans="2:33" ht="18.75" customHeight="1" x14ac:dyDescent="0.5">
      <c r="B44" s="133">
        <f t="shared" si="3"/>
        <v>6</v>
      </c>
      <c r="C44" s="134">
        <v>1</v>
      </c>
      <c r="D44" s="134">
        <v>2</v>
      </c>
      <c r="E44" s="135"/>
      <c r="F44" s="134"/>
      <c r="G44" s="134"/>
      <c r="H44" s="136"/>
      <c r="I44" s="44"/>
      <c r="J44" s="133">
        <f t="shared" si="0"/>
        <v>6</v>
      </c>
      <c r="K44" s="134">
        <v>1</v>
      </c>
      <c r="L44" s="134">
        <v>2</v>
      </c>
      <c r="M44" s="135"/>
      <c r="N44" s="134"/>
      <c r="O44" s="134"/>
      <c r="P44" s="136"/>
      <c r="Q44" s="44"/>
      <c r="R44" s="44"/>
      <c r="S44" s="133">
        <f t="shared" si="1"/>
        <v>6</v>
      </c>
      <c r="T44" s="134">
        <v>1</v>
      </c>
      <c r="U44" s="134">
        <v>2</v>
      </c>
      <c r="V44" s="135"/>
      <c r="W44" s="134"/>
      <c r="X44" s="134"/>
      <c r="Y44" s="136"/>
      <c r="AA44" s="133">
        <f t="shared" si="2"/>
        <v>6</v>
      </c>
      <c r="AB44" s="134">
        <v>1</v>
      </c>
      <c r="AC44" s="134">
        <v>2</v>
      </c>
      <c r="AD44" s="135"/>
      <c r="AE44" s="134"/>
      <c r="AF44" s="134"/>
      <c r="AG44" s="136"/>
    </row>
    <row r="45" spans="2:33" ht="18.75" customHeight="1" x14ac:dyDescent="0.5">
      <c r="B45" s="129">
        <f t="shared" si="3"/>
        <v>6</v>
      </c>
      <c r="C45" s="130">
        <v>2</v>
      </c>
      <c r="D45" s="130">
        <v>1</v>
      </c>
      <c r="E45" s="131"/>
      <c r="F45" s="130"/>
      <c r="G45" s="130"/>
      <c r="H45" s="132"/>
      <c r="I45" s="44"/>
      <c r="J45" s="129">
        <f t="shared" si="0"/>
        <v>6</v>
      </c>
      <c r="K45" s="130">
        <v>2</v>
      </c>
      <c r="L45" s="130">
        <v>1</v>
      </c>
      <c r="M45" s="131"/>
      <c r="N45" s="130"/>
      <c r="O45" s="130"/>
      <c r="P45" s="132"/>
      <c r="Q45" s="44"/>
      <c r="R45" s="44"/>
      <c r="S45" s="129">
        <f t="shared" si="1"/>
        <v>6</v>
      </c>
      <c r="T45" s="130">
        <v>2</v>
      </c>
      <c r="U45" s="130">
        <v>1</v>
      </c>
      <c r="V45" s="131"/>
      <c r="W45" s="130"/>
      <c r="X45" s="130"/>
      <c r="Y45" s="132"/>
      <c r="AA45" s="129">
        <f t="shared" si="2"/>
        <v>6</v>
      </c>
      <c r="AB45" s="130">
        <v>2</v>
      </c>
      <c r="AC45" s="130">
        <v>1</v>
      </c>
      <c r="AD45" s="131"/>
      <c r="AE45" s="130"/>
      <c r="AF45" s="130"/>
      <c r="AG45" s="132"/>
    </row>
    <row r="46" spans="2:33" ht="18.75" customHeight="1" x14ac:dyDescent="0.5">
      <c r="B46" s="133">
        <f t="shared" si="3"/>
        <v>6</v>
      </c>
      <c r="C46" s="134">
        <v>2</v>
      </c>
      <c r="D46" s="134">
        <v>2</v>
      </c>
      <c r="E46" s="135"/>
      <c r="F46" s="134"/>
      <c r="G46" s="134"/>
      <c r="H46" s="136"/>
      <c r="I46" s="44"/>
      <c r="J46" s="133">
        <f t="shared" si="0"/>
        <v>6</v>
      </c>
      <c r="K46" s="134">
        <v>2</v>
      </c>
      <c r="L46" s="134">
        <v>2</v>
      </c>
      <c r="M46" s="135"/>
      <c r="N46" s="134"/>
      <c r="O46" s="134"/>
      <c r="P46" s="136"/>
      <c r="Q46" s="44"/>
      <c r="R46" s="44"/>
      <c r="S46" s="133">
        <f t="shared" si="1"/>
        <v>6</v>
      </c>
      <c r="T46" s="134">
        <v>2</v>
      </c>
      <c r="U46" s="134">
        <v>2</v>
      </c>
      <c r="V46" s="135"/>
      <c r="W46" s="134"/>
      <c r="X46" s="134"/>
      <c r="Y46" s="136"/>
      <c r="AA46" s="133">
        <f t="shared" si="2"/>
        <v>6</v>
      </c>
      <c r="AB46" s="134">
        <v>2</v>
      </c>
      <c r="AC46" s="134">
        <v>2</v>
      </c>
      <c r="AD46" s="135"/>
      <c r="AE46" s="134"/>
      <c r="AF46" s="134"/>
      <c r="AG46" s="136"/>
    </row>
    <row r="47" spans="2:33" ht="18.75" customHeight="1" x14ac:dyDescent="0.5">
      <c r="B47" s="137">
        <f t="shared" si="3"/>
        <v>7</v>
      </c>
      <c r="C47" s="130">
        <v>1</v>
      </c>
      <c r="D47" s="130">
        <v>1</v>
      </c>
      <c r="E47" s="131"/>
      <c r="F47" s="130"/>
      <c r="G47" s="130"/>
      <c r="H47" s="132"/>
      <c r="I47" s="44"/>
      <c r="J47" s="137">
        <f t="shared" si="0"/>
        <v>7</v>
      </c>
      <c r="K47" s="130">
        <v>1</v>
      </c>
      <c r="L47" s="130">
        <v>1</v>
      </c>
      <c r="M47" s="131"/>
      <c r="N47" s="130"/>
      <c r="O47" s="130"/>
      <c r="P47" s="132"/>
      <c r="Q47" s="44"/>
      <c r="R47" s="44"/>
      <c r="S47" s="137">
        <f t="shared" si="1"/>
        <v>7</v>
      </c>
      <c r="T47" s="130">
        <v>1</v>
      </c>
      <c r="U47" s="130">
        <v>1</v>
      </c>
      <c r="V47" s="131"/>
      <c r="W47" s="130"/>
      <c r="X47" s="130"/>
      <c r="Y47" s="132"/>
      <c r="AA47" s="137">
        <f t="shared" si="2"/>
        <v>7</v>
      </c>
      <c r="AB47" s="130">
        <v>1</v>
      </c>
      <c r="AC47" s="130">
        <v>1</v>
      </c>
      <c r="AD47" s="131"/>
      <c r="AE47" s="130"/>
      <c r="AF47" s="130"/>
      <c r="AG47" s="132"/>
    </row>
    <row r="48" spans="2:33" ht="18.75" customHeight="1" x14ac:dyDescent="0.5">
      <c r="B48" s="138">
        <f t="shared" si="3"/>
        <v>7</v>
      </c>
      <c r="C48" s="134">
        <v>1</v>
      </c>
      <c r="D48" s="134">
        <v>2</v>
      </c>
      <c r="E48" s="135"/>
      <c r="F48" s="134"/>
      <c r="G48" s="134"/>
      <c r="H48" s="136"/>
      <c r="I48" s="44"/>
      <c r="J48" s="138">
        <f t="shared" si="0"/>
        <v>7</v>
      </c>
      <c r="K48" s="134">
        <v>1</v>
      </c>
      <c r="L48" s="134">
        <v>2</v>
      </c>
      <c r="M48" s="135"/>
      <c r="N48" s="134"/>
      <c r="O48" s="134"/>
      <c r="P48" s="136"/>
      <c r="Q48" s="44"/>
      <c r="R48" s="44"/>
      <c r="S48" s="138">
        <f t="shared" si="1"/>
        <v>7</v>
      </c>
      <c r="T48" s="134">
        <v>1</v>
      </c>
      <c r="U48" s="134">
        <v>2</v>
      </c>
      <c r="V48" s="135"/>
      <c r="W48" s="134"/>
      <c r="X48" s="134"/>
      <c r="Y48" s="136"/>
      <c r="AA48" s="138">
        <f t="shared" si="2"/>
        <v>7</v>
      </c>
      <c r="AB48" s="134">
        <v>1</v>
      </c>
      <c r="AC48" s="134">
        <v>2</v>
      </c>
      <c r="AD48" s="135"/>
      <c r="AE48" s="134"/>
      <c r="AF48" s="134"/>
      <c r="AG48" s="136"/>
    </row>
    <row r="49" spans="2:33" ht="18.75" customHeight="1" x14ac:dyDescent="0.5">
      <c r="B49" s="137">
        <f t="shared" si="3"/>
        <v>7</v>
      </c>
      <c r="C49" s="130">
        <v>2</v>
      </c>
      <c r="D49" s="130">
        <v>1</v>
      </c>
      <c r="E49" s="131"/>
      <c r="F49" s="130"/>
      <c r="G49" s="130"/>
      <c r="H49" s="132"/>
      <c r="I49" s="44"/>
      <c r="J49" s="137">
        <f t="shared" si="0"/>
        <v>7</v>
      </c>
      <c r="K49" s="130">
        <v>2</v>
      </c>
      <c r="L49" s="130">
        <v>1</v>
      </c>
      <c r="M49" s="131"/>
      <c r="N49" s="130"/>
      <c r="O49" s="130"/>
      <c r="P49" s="132"/>
      <c r="Q49" s="44"/>
      <c r="R49" s="44"/>
      <c r="S49" s="137">
        <f t="shared" si="1"/>
        <v>7</v>
      </c>
      <c r="T49" s="130">
        <v>2</v>
      </c>
      <c r="U49" s="130">
        <v>1</v>
      </c>
      <c r="V49" s="131"/>
      <c r="W49" s="130"/>
      <c r="X49" s="130"/>
      <c r="Y49" s="132"/>
      <c r="AA49" s="137">
        <f t="shared" si="2"/>
        <v>7</v>
      </c>
      <c r="AB49" s="130">
        <v>2</v>
      </c>
      <c r="AC49" s="130">
        <v>1</v>
      </c>
      <c r="AD49" s="131"/>
      <c r="AE49" s="130"/>
      <c r="AF49" s="130"/>
      <c r="AG49" s="132"/>
    </row>
    <row r="50" spans="2:33" ht="18.75" customHeight="1" x14ac:dyDescent="0.5">
      <c r="B50" s="138">
        <f t="shared" si="3"/>
        <v>7</v>
      </c>
      <c r="C50" s="134">
        <v>2</v>
      </c>
      <c r="D50" s="134">
        <v>2</v>
      </c>
      <c r="E50" s="135"/>
      <c r="F50" s="134"/>
      <c r="G50" s="134"/>
      <c r="H50" s="136"/>
      <c r="I50" s="44"/>
      <c r="J50" s="138">
        <f t="shared" si="0"/>
        <v>7</v>
      </c>
      <c r="K50" s="134">
        <v>2</v>
      </c>
      <c r="L50" s="134">
        <v>2</v>
      </c>
      <c r="M50" s="135"/>
      <c r="N50" s="134"/>
      <c r="O50" s="134"/>
      <c r="P50" s="136"/>
      <c r="Q50" s="44"/>
      <c r="R50" s="44"/>
      <c r="S50" s="138">
        <f t="shared" si="1"/>
        <v>7</v>
      </c>
      <c r="T50" s="134">
        <v>2</v>
      </c>
      <c r="U50" s="134">
        <v>2</v>
      </c>
      <c r="V50" s="135"/>
      <c r="W50" s="134"/>
      <c r="X50" s="134"/>
      <c r="Y50" s="136"/>
      <c r="AA50" s="138">
        <f t="shared" si="2"/>
        <v>7</v>
      </c>
      <c r="AB50" s="134">
        <v>2</v>
      </c>
      <c r="AC50" s="134">
        <v>2</v>
      </c>
      <c r="AD50" s="135"/>
      <c r="AE50" s="134"/>
      <c r="AF50" s="134"/>
      <c r="AG50" s="136"/>
    </row>
    <row r="51" spans="2:33" ht="18.75" customHeight="1" x14ac:dyDescent="0.5">
      <c r="B51" s="129">
        <f t="shared" si="3"/>
        <v>8</v>
      </c>
      <c r="C51" s="130">
        <v>1</v>
      </c>
      <c r="D51" s="130">
        <v>1</v>
      </c>
      <c r="E51" s="131"/>
      <c r="F51" s="130"/>
      <c r="G51" s="130"/>
      <c r="H51" s="132"/>
      <c r="I51" s="44"/>
      <c r="J51" s="129">
        <f t="shared" si="0"/>
        <v>8</v>
      </c>
      <c r="K51" s="130">
        <v>1</v>
      </c>
      <c r="L51" s="130">
        <v>1</v>
      </c>
      <c r="M51" s="131"/>
      <c r="N51" s="130"/>
      <c r="O51" s="130"/>
      <c r="P51" s="132"/>
      <c r="Q51" s="44"/>
      <c r="R51" s="44"/>
      <c r="S51" s="129">
        <f t="shared" si="1"/>
        <v>8</v>
      </c>
      <c r="T51" s="130">
        <v>1</v>
      </c>
      <c r="U51" s="130">
        <v>1</v>
      </c>
      <c r="V51" s="131"/>
      <c r="W51" s="130"/>
      <c r="X51" s="130"/>
      <c r="Y51" s="132"/>
      <c r="AA51" s="129">
        <f t="shared" si="2"/>
        <v>8</v>
      </c>
      <c r="AB51" s="130">
        <v>1</v>
      </c>
      <c r="AC51" s="130">
        <v>1</v>
      </c>
      <c r="AD51" s="131"/>
      <c r="AE51" s="130"/>
      <c r="AF51" s="130"/>
      <c r="AG51" s="132"/>
    </row>
    <row r="52" spans="2:33" ht="18.75" customHeight="1" x14ac:dyDescent="0.5">
      <c r="B52" s="133">
        <f t="shared" si="3"/>
        <v>8</v>
      </c>
      <c r="C52" s="134">
        <v>1</v>
      </c>
      <c r="D52" s="134">
        <v>2</v>
      </c>
      <c r="E52" s="135"/>
      <c r="F52" s="134"/>
      <c r="G52" s="134"/>
      <c r="H52" s="136"/>
      <c r="I52" s="44"/>
      <c r="J52" s="133">
        <f t="shared" si="0"/>
        <v>8</v>
      </c>
      <c r="K52" s="134">
        <v>1</v>
      </c>
      <c r="L52" s="134">
        <v>2</v>
      </c>
      <c r="M52" s="135"/>
      <c r="N52" s="134"/>
      <c r="O52" s="134"/>
      <c r="P52" s="136"/>
      <c r="Q52" s="44"/>
      <c r="R52" s="44"/>
      <c r="S52" s="133">
        <f t="shared" si="1"/>
        <v>8</v>
      </c>
      <c r="T52" s="134">
        <v>1</v>
      </c>
      <c r="U52" s="134">
        <v>2</v>
      </c>
      <c r="V52" s="135"/>
      <c r="W52" s="134"/>
      <c r="X52" s="134"/>
      <c r="Y52" s="136"/>
      <c r="AA52" s="133">
        <f t="shared" si="2"/>
        <v>8</v>
      </c>
      <c r="AB52" s="134">
        <v>1</v>
      </c>
      <c r="AC52" s="134">
        <v>2</v>
      </c>
      <c r="AD52" s="135"/>
      <c r="AE52" s="134"/>
      <c r="AF52" s="134"/>
      <c r="AG52" s="136"/>
    </row>
    <row r="53" spans="2:33" ht="18.75" customHeight="1" x14ac:dyDescent="0.5">
      <c r="B53" s="129">
        <f t="shared" si="3"/>
        <v>8</v>
      </c>
      <c r="C53" s="130">
        <v>2</v>
      </c>
      <c r="D53" s="130">
        <v>1</v>
      </c>
      <c r="E53" s="131"/>
      <c r="F53" s="130"/>
      <c r="G53" s="130"/>
      <c r="H53" s="132"/>
      <c r="I53" s="44"/>
      <c r="J53" s="129">
        <f t="shared" si="0"/>
        <v>8</v>
      </c>
      <c r="K53" s="130">
        <v>2</v>
      </c>
      <c r="L53" s="130">
        <v>1</v>
      </c>
      <c r="M53" s="131"/>
      <c r="N53" s="130"/>
      <c r="O53" s="130"/>
      <c r="P53" s="132"/>
      <c r="Q53" s="44"/>
      <c r="R53" s="44"/>
      <c r="S53" s="129">
        <f t="shared" si="1"/>
        <v>8</v>
      </c>
      <c r="T53" s="130">
        <v>2</v>
      </c>
      <c r="U53" s="130">
        <v>1</v>
      </c>
      <c r="V53" s="131"/>
      <c r="W53" s="130"/>
      <c r="X53" s="130"/>
      <c r="Y53" s="132"/>
      <c r="AA53" s="129">
        <f t="shared" si="2"/>
        <v>8</v>
      </c>
      <c r="AB53" s="130">
        <v>2</v>
      </c>
      <c r="AC53" s="130">
        <v>1</v>
      </c>
      <c r="AD53" s="131"/>
      <c r="AE53" s="130"/>
      <c r="AF53" s="130"/>
      <c r="AG53" s="132"/>
    </row>
    <row r="54" spans="2:33" ht="18.75" customHeight="1" x14ac:dyDescent="0.5">
      <c r="B54" s="133">
        <f t="shared" si="3"/>
        <v>8</v>
      </c>
      <c r="C54" s="134">
        <v>2</v>
      </c>
      <c r="D54" s="134">
        <v>2</v>
      </c>
      <c r="E54" s="135"/>
      <c r="F54" s="134"/>
      <c r="G54" s="134"/>
      <c r="H54" s="136"/>
      <c r="I54" s="44"/>
      <c r="J54" s="133">
        <f t="shared" si="0"/>
        <v>8</v>
      </c>
      <c r="K54" s="134">
        <v>2</v>
      </c>
      <c r="L54" s="134">
        <v>2</v>
      </c>
      <c r="M54" s="135"/>
      <c r="N54" s="134"/>
      <c r="O54" s="134"/>
      <c r="P54" s="136"/>
      <c r="Q54" s="44"/>
      <c r="R54" s="44"/>
      <c r="S54" s="133">
        <f t="shared" si="1"/>
        <v>8</v>
      </c>
      <c r="T54" s="134">
        <v>2</v>
      </c>
      <c r="U54" s="134">
        <v>2</v>
      </c>
      <c r="V54" s="135"/>
      <c r="W54" s="134"/>
      <c r="X54" s="134"/>
      <c r="Y54" s="136"/>
      <c r="AA54" s="133">
        <f t="shared" si="2"/>
        <v>8</v>
      </c>
      <c r="AB54" s="134">
        <v>2</v>
      </c>
      <c r="AC54" s="134">
        <v>2</v>
      </c>
      <c r="AD54" s="135"/>
      <c r="AE54" s="134"/>
      <c r="AF54" s="134"/>
      <c r="AG54" s="136"/>
    </row>
    <row r="55" spans="2:33" ht="18.75" customHeight="1" x14ac:dyDescent="0.5">
      <c r="B55" s="137">
        <f t="shared" si="3"/>
        <v>9</v>
      </c>
      <c r="C55" s="130">
        <v>1</v>
      </c>
      <c r="D55" s="130">
        <v>1</v>
      </c>
      <c r="E55" s="131"/>
      <c r="F55" s="130"/>
      <c r="G55" s="130"/>
      <c r="H55" s="132"/>
      <c r="I55" s="44"/>
      <c r="J55" s="137">
        <f t="shared" si="0"/>
        <v>9</v>
      </c>
      <c r="K55" s="130">
        <v>1</v>
      </c>
      <c r="L55" s="130">
        <v>1</v>
      </c>
      <c r="M55" s="131"/>
      <c r="N55" s="130"/>
      <c r="O55" s="130"/>
      <c r="P55" s="132"/>
      <c r="Q55" s="44"/>
      <c r="R55" s="44"/>
      <c r="S55" s="137">
        <f t="shared" si="1"/>
        <v>9</v>
      </c>
      <c r="T55" s="130">
        <v>1</v>
      </c>
      <c r="U55" s="130">
        <v>1</v>
      </c>
      <c r="V55" s="131"/>
      <c r="W55" s="130"/>
      <c r="X55" s="130"/>
      <c r="Y55" s="132"/>
      <c r="AA55" s="137">
        <f t="shared" si="2"/>
        <v>9</v>
      </c>
      <c r="AB55" s="130">
        <v>1</v>
      </c>
      <c r="AC55" s="130">
        <v>1</v>
      </c>
      <c r="AD55" s="131"/>
      <c r="AE55" s="130"/>
      <c r="AF55" s="130"/>
      <c r="AG55" s="132"/>
    </row>
    <row r="56" spans="2:33" ht="18.75" customHeight="1" x14ac:dyDescent="0.5">
      <c r="B56" s="138">
        <f t="shared" si="3"/>
        <v>9</v>
      </c>
      <c r="C56" s="134">
        <v>1</v>
      </c>
      <c r="D56" s="134">
        <v>2</v>
      </c>
      <c r="E56" s="135"/>
      <c r="F56" s="134"/>
      <c r="G56" s="134"/>
      <c r="H56" s="136"/>
      <c r="I56" s="44"/>
      <c r="J56" s="138">
        <f t="shared" si="0"/>
        <v>9</v>
      </c>
      <c r="K56" s="134">
        <v>1</v>
      </c>
      <c r="L56" s="134">
        <v>2</v>
      </c>
      <c r="M56" s="135"/>
      <c r="N56" s="134"/>
      <c r="O56" s="134"/>
      <c r="P56" s="136"/>
      <c r="Q56" s="44"/>
      <c r="R56" s="44"/>
      <c r="S56" s="138">
        <f t="shared" si="1"/>
        <v>9</v>
      </c>
      <c r="T56" s="134">
        <v>1</v>
      </c>
      <c r="U56" s="134">
        <v>2</v>
      </c>
      <c r="V56" s="135"/>
      <c r="W56" s="134"/>
      <c r="X56" s="134"/>
      <c r="Y56" s="136"/>
      <c r="AA56" s="138">
        <f t="shared" si="2"/>
        <v>9</v>
      </c>
      <c r="AB56" s="134">
        <v>1</v>
      </c>
      <c r="AC56" s="134">
        <v>2</v>
      </c>
      <c r="AD56" s="135"/>
      <c r="AE56" s="134"/>
      <c r="AF56" s="134"/>
      <c r="AG56" s="136"/>
    </row>
    <row r="57" spans="2:33" ht="18.75" customHeight="1" x14ac:dyDescent="0.5">
      <c r="B57" s="137">
        <f t="shared" si="3"/>
        <v>9</v>
      </c>
      <c r="C57" s="130">
        <v>2</v>
      </c>
      <c r="D57" s="130">
        <v>1</v>
      </c>
      <c r="E57" s="131"/>
      <c r="F57" s="130"/>
      <c r="G57" s="130"/>
      <c r="H57" s="132"/>
      <c r="I57" s="44"/>
      <c r="J57" s="137">
        <f t="shared" si="0"/>
        <v>9</v>
      </c>
      <c r="K57" s="130">
        <v>2</v>
      </c>
      <c r="L57" s="130">
        <v>1</v>
      </c>
      <c r="M57" s="131"/>
      <c r="N57" s="130"/>
      <c r="O57" s="130"/>
      <c r="P57" s="132"/>
      <c r="Q57" s="44"/>
      <c r="R57" s="44"/>
      <c r="S57" s="137">
        <f t="shared" si="1"/>
        <v>9</v>
      </c>
      <c r="T57" s="130">
        <v>2</v>
      </c>
      <c r="U57" s="130">
        <v>1</v>
      </c>
      <c r="V57" s="131"/>
      <c r="W57" s="130"/>
      <c r="X57" s="130"/>
      <c r="Y57" s="132"/>
      <c r="AA57" s="137">
        <f t="shared" si="2"/>
        <v>9</v>
      </c>
      <c r="AB57" s="130">
        <v>2</v>
      </c>
      <c r="AC57" s="130">
        <v>1</v>
      </c>
      <c r="AD57" s="131"/>
      <c r="AE57" s="130"/>
      <c r="AF57" s="130"/>
      <c r="AG57" s="132"/>
    </row>
    <row r="58" spans="2:33" ht="18.75" customHeight="1" x14ac:dyDescent="0.5">
      <c r="B58" s="138">
        <f t="shared" si="3"/>
        <v>9</v>
      </c>
      <c r="C58" s="134">
        <v>2</v>
      </c>
      <c r="D58" s="134">
        <v>2</v>
      </c>
      <c r="E58" s="135"/>
      <c r="F58" s="134"/>
      <c r="G58" s="134"/>
      <c r="H58" s="136"/>
      <c r="I58" s="44"/>
      <c r="J58" s="138">
        <f t="shared" si="0"/>
        <v>9</v>
      </c>
      <c r="K58" s="134">
        <v>2</v>
      </c>
      <c r="L58" s="134">
        <v>2</v>
      </c>
      <c r="M58" s="135"/>
      <c r="N58" s="134"/>
      <c r="O58" s="134"/>
      <c r="P58" s="136"/>
      <c r="Q58" s="44"/>
      <c r="R58" s="44"/>
      <c r="S58" s="138">
        <f t="shared" si="1"/>
        <v>9</v>
      </c>
      <c r="T58" s="134">
        <v>2</v>
      </c>
      <c r="U58" s="134">
        <v>2</v>
      </c>
      <c r="V58" s="135"/>
      <c r="W58" s="134"/>
      <c r="X58" s="134"/>
      <c r="Y58" s="136"/>
      <c r="AA58" s="138">
        <f t="shared" si="2"/>
        <v>9</v>
      </c>
      <c r="AB58" s="134">
        <v>2</v>
      </c>
      <c r="AC58" s="134">
        <v>2</v>
      </c>
      <c r="AD58" s="135"/>
      <c r="AE58" s="134"/>
      <c r="AF58" s="134"/>
      <c r="AG58" s="136"/>
    </row>
    <row r="59" spans="2:33" ht="18.75" customHeight="1" x14ac:dyDescent="0.5">
      <c r="B59" s="129">
        <f t="shared" si="3"/>
        <v>10</v>
      </c>
      <c r="C59" s="130">
        <v>1</v>
      </c>
      <c r="D59" s="130">
        <v>1</v>
      </c>
      <c r="E59" s="131"/>
      <c r="F59" s="130"/>
      <c r="G59" s="130"/>
      <c r="H59" s="132"/>
      <c r="I59" s="44"/>
      <c r="J59" s="129">
        <f t="shared" si="0"/>
        <v>10</v>
      </c>
      <c r="K59" s="130">
        <v>1</v>
      </c>
      <c r="L59" s="130">
        <v>1</v>
      </c>
      <c r="M59" s="131"/>
      <c r="N59" s="130"/>
      <c r="O59" s="130"/>
      <c r="P59" s="132"/>
      <c r="Q59" s="44"/>
      <c r="R59" s="44"/>
      <c r="S59" s="129">
        <f t="shared" si="1"/>
        <v>10</v>
      </c>
      <c r="T59" s="130">
        <v>1</v>
      </c>
      <c r="U59" s="130">
        <v>1</v>
      </c>
      <c r="V59" s="131"/>
      <c r="W59" s="130"/>
      <c r="X59" s="130"/>
      <c r="Y59" s="132"/>
      <c r="AA59" s="129">
        <f t="shared" si="2"/>
        <v>10</v>
      </c>
      <c r="AB59" s="130">
        <v>1</v>
      </c>
      <c r="AC59" s="130">
        <v>1</v>
      </c>
      <c r="AD59" s="131"/>
      <c r="AE59" s="130"/>
      <c r="AF59" s="130"/>
      <c r="AG59" s="132"/>
    </row>
    <row r="60" spans="2:33" ht="18.75" customHeight="1" x14ac:dyDescent="0.5">
      <c r="B60" s="133">
        <f t="shared" si="3"/>
        <v>10</v>
      </c>
      <c r="C60" s="134">
        <v>1</v>
      </c>
      <c r="D60" s="134">
        <v>2</v>
      </c>
      <c r="E60" s="135"/>
      <c r="F60" s="134"/>
      <c r="G60" s="134"/>
      <c r="H60" s="136"/>
      <c r="I60" s="44"/>
      <c r="J60" s="133">
        <f t="shared" si="0"/>
        <v>10</v>
      </c>
      <c r="K60" s="134">
        <v>1</v>
      </c>
      <c r="L60" s="134">
        <v>2</v>
      </c>
      <c r="M60" s="135"/>
      <c r="N60" s="134"/>
      <c r="O60" s="134"/>
      <c r="P60" s="136"/>
      <c r="Q60" s="44"/>
      <c r="R60" s="44"/>
      <c r="S60" s="133">
        <f t="shared" si="1"/>
        <v>10</v>
      </c>
      <c r="T60" s="134">
        <v>1</v>
      </c>
      <c r="U60" s="134">
        <v>2</v>
      </c>
      <c r="V60" s="135"/>
      <c r="W60" s="134"/>
      <c r="X60" s="134"/>
      <c r="Y60" s="136"/>
      <c r="AA60" s="133">
        <f t="shared" si="2"/>
        <v>10</v>
      </c>
      <c r="AB60" s="134">
        <v>1</v>
      </c>
      <c r="AC60" s="134">
        <v>2</v>
      </c>
      <c r="AD60" s="135"/>
      <c r="AE60" s="134"/>
      <c r="AF60" s="134"/>
      <c r="AG60" s="136"/>
    </row>
    <row r="61" spans="2:33" ht="18.75" customHeight="1" x14ac:dyDescent="0.5">
      <c r="B61" s="129">
        <f t="shared" si="3"/>
        <v>10</v>
      </c>
      <c r="C61" s="130">
        <v>2</v>
      </c>
      <c r="D61" s="130">
        <v>1</v>
      </c>
      <c r="E61" s="131"/>
      <c r="F61" s="130"/>
      <c r="G61" s="130"/>
      <c r="H61" s="132"/>
      <c r="I61" s="44"/>
      <c r="J61" s="129">
        <f t="shared" si="0"/>
        <v>10</v>
      </c>
      <c r="K61" s="130">
        <v>2</v>
      </c>
      <c r="L61" s="130">
        <v>1</v>
      </c>
      <c r="M61" s="131"/>
      <c r="N61" s="130"/>
      <c r="O61" s="130"/>
      <c r="P61" s="132"/>
      <c r="Q61" s="44"/>
      <c r="R61" s="44"/>
      <c r="S61" s="129">
        <f t="shared" si="1"/>
        <v>10</v>
      </c>
      <c r="T61" s="130">
        <v>2</v>
      </c>
      <c r="U61" s="130">
        <v>1</v>
      </c>
      <c r="V61" s="131"/>
      <c r="W61" s="130"/>
      <c r="X61" s="130"/>
      <c r="Y61" s="132"/>
      <c r="AA61" s="129">
        <f t="shared" si="2"/>
        <v>10</v>
      </c>
      <c r="AB61" s="130">
        <v>2</v>
      </c>
      <c r="AC61" s="130">
        <v>1</v>
      </c>
      <c r="AD61" s="131"/>
      <c r="AE61" s="130"/>
      <c r="AF61" s="130"/>
      <c r="AG61" s="132"/>
    </row>
    <row r="62" spans="2:33" ht="18.75" customHeight="1" x14ac:dyDescent="0.5">
      <c r="B62" s="133">
        <f t="shared" si="3"/>
        <v>10</v>
      </c>
      <c r="C62" s="134">
        <v>2</v>
      </c>
      <c r="D62" s="134">
        <v>2</v>
      </c>
      <c r="E62" s="135"/>
      <c r="F62" s="134"/>
      <c r="G62" s="134"/>
      <c r="H62" s="136"/>
      <c r="I62" s="44"/>
      <c r="J62" s="133">
        <f t="shared" si="0"/>
        <v>10</v>
      </c>
      <c r="K62" s="134">
        <v>2</v>
      </c>
      <c r="L62" s="134">
        <v>2</v>
      </c>
      <c r="M62" s="135"/>
      <c r="N62" s="134"/>
      <c r="O62" s="134"/>
      <c r="P62" s="136"/>
      <c r="Q62" s="44"/>
      <c r="R62" s="44"/>
      <c r="S62" s="133">
        <f t="shared" si="1"/>
        <v>10</v>
      </c>
      <c r="T62" s="134">
        <v>2</v>
      </c>
      <c r="U62" s="134">
        <v>2</v>
      </c>
      <c r="V62" s="135"/>
      <c r="W62" s="134"/>
      <c r="X62" s="134"/>
      <c r="Y62" s="136"/>
      <c r="AA62" s="133">
        <f t="shared" si="2"/>
        <v>10</v>
      </c>
      <c r="AB62" s="134">
        <v>2</v>
      </c>
      <c r="AC62" s="134">
        <v>2</v>
      </c>
      <c r="AD62" s="135"/>
      <c r="AE62" s="134"/>
      <c r="AF62" s="134"/>
      <c r="AG62" s="136"/>
    </row>
    <row r="63" spans="2:33" ht="18.75" customHeight="1" x14ac:dyDescent="0.5">
      <c r="B63" s="137">
        <f t="shared" si="3"/>
        <v>11</v>
      </c>
      <c r="C63" s="130">
        <v>1</v>
      </c>
      <c r="D63" s="130">
        <v>1</v>
      </c>
      <c r="E63" s="131"/>
      <c r="F63" s="130"/>
      <c r="G63" s="130"/>
      <c r="H63" s="132"/>
      <c r="I63" s="44"/>
      <c r="J63" s="137">
        <f t="shared" si="0"/>
        <v>11</v>
      </c>
      <c r="K63" s="130">
        <v>1</v>
      </c>
      <c r="L63" s="130">
        <v>1</v>
      </c>
      <c r="M63" s="131"/>
      <c r="N63" s="130"/>
      <c r="O63" s="130"/>
      <c r="P63" s="132"/>
      <c r="Q63" s="44"/>
      <c r="R63" s="44"/>
      <c r="S63" s="137">
        <f t="shared" si="1"/>
        <v>11</v>
      </c>
      <c r="T63" s="130">
        <v>1</v>
      </c>
      <c r="U63" s="130">
        <v>1</v>
      </c>
      <c r="V63" s="131"/>
      <c r="W63" s="130"/>
      <c r="X63" s="130"/>
      <c r="Y63" s="132"/>
      <c r="AA63" s="137">
        <f t="shared" si="2"/>
        <v>11</v>
      </c>
      <c r="AB63" s="130">
        <v>1</v>
      </c>
      <c r="AC63" s="130">
        <v>1</v>
      </c>
      <c r="AD63" s="131"/>
      <c r="AE63" s="130"/>
      <c r="AF63" s="130"/>
      <c r="AG63" s="132"/>
    </row>
    <row r="64" spans="2:33" ht="18.75" customHeight="1" x14ac:dyDescent="0.5">
      <c r="B64" s="138">
        <f t="shared" si="3"/>
        <v>11</v>
      </c>
      <c r="C64" s="134">
        <v>1</v>
      </c>
      <c r="D64" s="134">
        <v>2</v>
      </c>
      <c r="E64" s="135"/>
      <c r="F64" s="134"/>
      <c r="G64" s="134"/>
      <c r="H64" s="136"/>
      <c r="I64" s="44"/>
      <c r="J64" s="138">
        <f t="shared" si="0"/>
        <v>11</v>
      </c>
      <c r="K64" s="134">
        <v>1</v>
      </c>
      <c r="L64" s="134">
        <v>2</v>
      </c>
      <c r="M64" s="135"/>
      <c r="N64" s="134"/>
      <c r="O64" s="134"/>
      <c r="P64" s="136"/>
      <c r="Q64" s="44"/>
      <c r="R64" s="44"/>
      <c r="S64" s="138">
        <f t="shared" si="1"/>
        <v>11</v>
      </c>
      <c r="T64" s="134">
        <v>1</v>
      </c>
      <c r="U64" s="134">
        <v>2</v>
      </c>
      <c r="V64" s="135"/>
      <c r="W64" s="134"/>
      <c r="X64" s="134"/>
      <c r="Y64" s="136"/>
      <c r="AA64" s="138">
        <f t="shared" si="2"/>
        <v>11</v>
      </c>
      <c r="AB64" s="134">
        <v>1</v>
      </c>
      <c r="AC64" s="134">
        <v>2</v>
      </c>
      <c r="AD64" s="135"/>
      <c r="AE64" s="134"/>
      <c r="AF64" s="134"/>
      <c r="AG64" s="136"/>
    </row>
    <row r="65" spans="2:33" ht="18.75" customHeight="1" x14ac:dyDescent="0.5">
      <c r="B65" s="137">
        <f t="shared" si="3"/>
        <v>11</v>
      </c>
      <c r="C65" s="130">
        <v>2</v>
      </c>
      <c r="D65" s="130">
        <v>1</v>
      </c>
      <c r="E65" s="131"/>
      <c r="F65" s="130"/>
      <c r="G65" s="130"/>
      <c r="H65" s="132"/>
      <c r="I65" s="44"/>
      <c r="J65" s="137">
        <f t="shared" si="0"/>
        <v>11</v>
      </c>
      <c r="K65" s="130">
        <v>2</v>
      </c>
      <c r="L65" s="130">
        <v>1</v>
      </c>
      <c r="M65" s="131"/>
      <c r="N65" s="130"/>
      <c r="O65" s="130"/>
      <c r="P65" s="132"/>
      <c r="Q65" s="44"/>
      <c r="R65" s="44"/>
      <c r="S65" s="137">
        <f t="shared" si="1"/>
        <v>11</v>
      </c>
      <c r="T65" s="130">
        <v>2</v>
      </c>
      <c r="U65" s="130">
        <v>1</v>
      </c>
      <c r="V65" s="131"/>
      <c r="W65" s="130"/>
      <c r="X65" s="130"/>
      <c r="Y65" s="132"/>
      <c r="AA65" s="137">
        <f t="shared" si="2"/>
        <v>11</v>
      </c>
      <c r="AB65" s="130">
        <v>2</v>
      </c>
      <c r="AC65" s="130">
        <v>1</v>
      </c>
      <c r="AD65" s="131"/>
      <c r="AE65" s="130"/>
      <c r="AF65" s="130"/>
      <c r="AG65" s="132"/>
    </row>
    <row r="66" spans="2:33" ht="18.75" customHeight="1" x14ac:dyDescent="0.5">
      <c r="B66" s="138">
        <f t="shared" si="3"/>
        <v>11</v>
      </c>
      <c r="C66" s="134">
        <v>2</v>
      </c>
      <c r="D66" s="134">
        <v>2</v>
      </c>
      <c r="E66" s="135"/>
      <c r="F66" s="134"/>
      <c r="G66" s="134"/>
      <c r="H66" s="136"/>
      <c r="I66" s="44"/>
      <c r="J66" s="138">
        <f t="shared" si="0"/>
        <v>11</v>
      </c>
      <c r="K66" s="134">
        <v>2</v>
      </c>
      <c r="L66" s="134">
        <v>2</v>
      </c>
      <c r="M66" s="135"/>
      <c r="N66" s="134"/>
      <c r="O66" s="134"/>
      <c r="P66" s="136"/>
      <c r="Q66" s="44"/>
      <c r="R66" s="44"/>
      <c r="S66" s="138">
        <f t="shared" si="1"/>
        <v>11</v>
      </c>
      <c r="T66" s="134">
        <v>2</v>
      </c>
      <c r="U66" s="134">
        <v>2</v>
      </c>
      <c r="V66" s="135"/>
      <c r="W66" s="134"/>
      <c r="X66" s="134"/>
      <c r="Y66" s="136"/>
      <c r="AA66" s="138">
        <f t="shared" si="2"/>
        <v>11</v>
      </c>
      <c r="AB66" s="134">
        <v>2</v>
      </c>
      <c r="AC66" s="134">
        <v>2</v>
      </c>
      <c r="AD66" s="135"/>
      <c r="AE66" s="134"/>
      <c r="AF66" s="134"/>
      <c r="AG66" s="136"/>
    </row>
    <row r="67" spans="2:33" ht="18.75" customHeight="1" x14ac:dyDescent="0.5">
      <c r="B67" s="129">
        <f t="shared" si="3"/>
        <v>12</v>
      </c>
      <c r="C67" s="130">
        <v>1</v>
      </c>
      <c r="D67" s="130">
        <v>1</v>
      </c>
      <c r="E67" s="131"/>
      <c r="F67" s="130"/>
      <c r="G67" s="130"/>
      <c r="H67" s="132"/>
      <c r="I67" s="44"/>
      <c r="J67" s="129">
        <f t="shared" si="0"/>
        <v>12</v>
      </c>
      <c r="K67" s="130">
        <v>1</v>
      </c>
      <c r="L67" s="130">
        <v>1</v>
      </c>
      <c r="M67" s="131"/>
      <c r="N67" s="130"/>
      <c r="O67" s="130"/>
      <c r="P67" s="132"/>
      <c r="Q67" s="44"/>
      <c r="R67" s="44"/>
      <c r="S67" s="129">
        <f t="shared" si="1"/>
        <v>12</v>
      </c>
      <c r="T67" s="130">
        <v>1</v>
      </c>
      <c r="U67" s="130">
        <v>1</v>
      </c>
      <c r="V67" s="131"/>
      <c r="W67" s="130"/>
      <c r="X67" s="130"/>
      <c r="Y67" s="132"/>
      <c r="AA67" s="129">
        <f t="shared" si="2"/>
        <v>12</v>
      </c>
      <c r="AB67" s="130">
        <v>1</v>
      </c>
      <c r="AC67" s="130">
        <v>1</v>
      </c>
      <c r="AD67" s="131"/>
      <c r="AE67" s="130"/>
      <c r="AF67" s="130"/>
      <c r="AG67" s="132"/>
    </row>
    <row r="68" spans="2:33" ht="18.75" customHeight="1" x14ac:dyDescent="0.5">
      <c r="B68" s="133">
        <f t="shared" si="3"/>
        <v>12</v>
      </c>
      <c r="C68" s="134">
        <v>1</v>
      </c>
      <c r="D68" s="134">
        <v>2</v>
      </c>
      <c r="E68" s="135"/>
      <c r="F68" s="134"/>
      <c r="G68" s="134"/>
      <c r="H68" s="136"/>
      <c r="I68" s="44"/>
      <c r="J68" s="133">
        <f t="shared" si="0"/>
        <v>12</v>
      </c>
      <c r="K68" s="134">
        <v>1</v>
      </c>
      <c r="L68" s="134">
        <v>2</v>
      </c>
      <c r="M68" s="135"/>
      <c r="N68" s="134"/>
      <c r="O68" s="134"/>
      <c r="P68" s="136"/>
      <c r="Q68" s="44"/>
      <c r="R68" s="44"/>
      <c r="S68" s="133">
        <f t="shared" si="1"/>
        <v>12</v>
      </c>
      <c r="T68" s="134">
        <v>1</v>
      </c>
      <c r="U68" s="134">
        <v>2</v>
      </c>
      <c r="V68" s="135"/>
      <c r="W68" s="134"/>
      <c r="X68" s="134"/>
      <c r="Y68" s="136"/>
      <c r="AA68" s="133">
        <f t="shared" si="2"/>
        <v>12</v>
      </c>
      <c r="AB68" s="134">
        <v>1</v>
      </c>
      <c r="AC68" s="134">
        <v>2</v>
      </c>
      <c r="AD68" s="135"/>
      <c r="AE68" s="134"/>
      <c r="AF68" s="134"/>
      <c r="AG68" s="136"/>
    </row>
    <row r="69" spans="2:33" ht="18.75" customHeight="1" x14ac:dyDescent="0.5">
      <c r="B69" s="129">
        <f t="shared" si="3"/>
        <v>12</v>
      </c>
      <c r="C69" s="130">
        <v>2</v>
      </c>
      <c r="D69" s="130">
        <v>1</v>
      </c>
      <c r="E69" s="131"/>
      <c r="F69" s="130"/>
      <c r="G69" s="130"/>
      <c r="H69" s="132"/>
      <c r="I69" s="44"/>
      <c r="J69" s="129">
        <f t="shared" si="0"/>
        <v>12</v>
      </c>
      <c r="K69" s="130">
        <v>2</v>
      </c>
      <c r="L69" s="130">
        <v>1</v>
      </c>
      <c r="M69" s="131"/>
      <c r="N69" s="130"/>
      <c r="O69" s="130"/>
      <c r="P69" s="132"/>
      <c r="Q69" s="44"/>
      <c r="R69" s="44"/>
      <c r="S69" s="129">
        <f t="shared" si="1"/>
        <v>12</v>
      </c>
      <c r="T69" s="130">
        <v>2</v>
      </c>
      <c r="U69" s="130">
        <v>1</v>
      </c>
      <c r="V69" s="131"/>
      <c r="W69" s="130"/>
      <c r="X69" s="130"/>
      <c r="Y69" s="132"/>
      <c r="AA69" s="129">
        <f t="shared" si="2"/>
        <v>12</v>
      </c>
      <c r="AB69" s="130">
        <v>2</v>
      </c>
      <c r="AC69" s="130">
        <v>1</v>
      </c>
      <c r="AD69" s="131"/>
      <c r="AE69" s="130"/>
      <c r="AF69" s="130"/>
      <c r="AG69" s="132"/>
    </row>
    <row r="70" spans="2:33" ht="18.75" customHeight="1" x14ac:dyDescent="0.5">
      <c r="B70" s="133">
        <f t="shared" si="3"/>
        <v>12</v>
      </c>
      <c r="C70" s="134">
        <v>2</v>
      </c>
      <c r="D70" s="134">
        <v>2</v>
      </c>
      <c r="E70" s="135"/>
      <c r="F70" s="134"/>
      <c r="G70" s="134"/>
      <c r="H70" s="136"/>
      <c r="I70" s="44"/>
      <c r="J70" s="133">
        <f t="shared" si="0"/>
        <v>12</v>
      </c>
      <c r="K70" s="134">
        <v>2</v>
      </c>
      <c r="L70" s="134">
        <v>2</v>
      </c>
      <c r="M70" s="135"/>
      <c r="N70" s="134"/>
      <c r="O70" s="134"/>
      <c r="P70" s="136"/>
      <c r="Q70" s="44"/>
      <c r="R70" s="44"/>
      <c r="S70" s="133">
        <f t="shared" si="1"/>
        <v>12</v>
      </c>
      <c r="T70" s="134">
        <v>2</v>
      </c>
      <c r="U70" s="134">
        <v>2</v>
      </c>
      <c r="V70" s="135"/>
      <c r="W70" s="134"/>
      <c r="X70" s="134"/>
      <c r="Y70" s="136"/>
      <c r="AA70" s="133">
        <f t="shared" si="2"/>
        <v>12</v>
      </c>
      <c r="AB70" s="134">
        <v>2</v>
      </c>
      <c r="AC70" s="134">
        <v>2</v>
      </c>
      <c r="AD70" s="135"/>
      <c r="AE70" s="134"/>
      <c r="AF70" s="134"/>
      <c r="AG70" s="136"/>
    </row>
    <row r="71" spans="2:33" ht="18.75" customHeight="1" x14ac:dyDescent="0.5">
      <c r="B71" s="137">
        <f t="shared" si="3"/>
        <v>13</v>
      </c>
      <c r="C71" s="130">
        <v>1</v>
      </c>
      <c r="D71" s="130">
        <v>1</v>
      </c>
      <c r="E71" s="131"/>
      <c r="F71" s="130"/>
      <c r="G71" s="130"/>
      <c r="H71" s="132"/>
      <c r="I71" s="44"/>
      <c r="J71" s="137">
        <f t="shared" si="0"/>
        <v>13</v>
      </c>
      <c r="K71" s="130">
        <v>1</v>
      </c>
      <c r="L71" s="130">
        <v>1</v>
      </c>
      <c r="M71" s="131"/>
      <c r="N71" s="130"/>
      <c r="O71" s="130"/>
      <c r="P71" s="132"/>
      <c r="Q71" s="44"/>
      <c r="R71" s="44"/>
      <c r="S71" s="137">
        <f t="shared" si="1"/>
        <v>13</v>
      </c>
      <c r="T71" s="130">
        <v>1</v>
      </c>
      <c r="U71" s="130">
        <v>1</v>
      </c>
      <c r="V71" s="131"/>
      <c r="W71" s="130"/>
      <c r="X71" s="130"/>
      <c r="Y71" s="132"/>
      <c r="AA71" s="137">
        <f t="shared" si="2"/>
        <v>13</v>
      </c>
      <c r="AB71" s="130">
        <v>1</v>
      </c>
      <c r="AC71" s="130">
        <v>1</v>
      </c>
      <c r="AD71" s="131"/>
      <c r="AE71" s="130"/>
      <c r="AF71" s="130"/>
      <c r="AG71" s="132"/>
    </row>
    <row r="72" spans="2:33" ht="18.75" customHeight="1" x14ac:dyDescent="0.5">
      <c r="B72" s="138">
        <f t="shared" si="3"/>
        <v>13</v>
      </c>
      <c r="C72" s="134">
        <v>1</v>
      </c>
      <c r="D72" s="134">
        <v>2</v>
      </c>
      <c r="E72" s="135"/>
      <c r="F72" s="134"/>
      <c r="G72" s="134"/>
      <c r="H72" s="136"/>
      <c r="I72" s="44"/>
      <c r="J72" s="138">
        <f t="shared" si="0"/>
        <v>13</v>
      </c>
      <c r="K72" s="134">
        <v>1</v>
      </c>
      <c r="L72" s="134">
        <v>2</v>
      </c>
      <c r="M72" s="135"/>
      <c r="N72" s="134"/>
      <c r="O72" s="134"/>
      <c r="P72" s="136"/>
      <c r="Q72" s="44"/>
      <c r="R72" s="44"/>
      <c r="S72" s="138">
        <f t="shared" si="1"/>
        <v>13</v>
      </c>
      <c r="T72" s="134">
        <v>1</v>
      </c>
      <c r="U72" s="134">
        <v>2</v>
      </c>
      <c r="V72" s="135"/>
      <c r="W72" s="134"/>
      <c r="X72" s="134"/>
      <c r="Y72" s="136"/>
      <c r="AA72" s="138">
        <f t="shared" si="2"/>
        <v>13</v>
      </c>
      <c r="AB72" s="134">
        <v>1</v>
      </c>
      <c r="AC72" s="134">
        <v>2</v>
      </c>
      <c r="AD72" s="135"/>
      <c r="AE72" s="134"/>
      <c r="AF72" s="134"/>
      <c r="AG72" s="136"/>
    </row>
    <row r="73" spans="2:33" ht="18.75" customHeight="1" x14ac:dyDescent="0.5">
      <c r="B73" s="137">
        <f t="shared" si="3"/>
        <v>13</v>
      </c>
      <c r="C73" s="130">
        <v>2</v>
      </c>
      <c r="D73" s="130">
        <v>1</v>
      </c>
      <c r="E73" s="131"/>
      <c r="F73" s="130"/>
      <c r="G73" s="130"/>
      <c r="H73" s="132"/>
      <c r="I73" s="44"/>
      <c r="J73" s="137">
        <f t="shared" si="0"/>
        <v>13</v>
      </c>
      <c r="K73" s="130">
        <v>2</v>
      </c>
      <c r="L73" s="130">
        <v>1</v>
      </c>
      <c r="M73" s="131"/>
      <c r="N73" s="130"/>
      <c r="O73" s="130"/>
      <c r="P73" s="132"/>
      <c r="Q73" s="44"/>
      <c r="R73" s="44"/>
      <c r="S73" s="137">
        <f t="shared" si="1"/>
        <v>13</v>
      </c>
      <c r="T73" s="130">
        <v>2</v>
      </c>
      <c r="U73" s="130">
        <v>1</v>
      </c>
      <c r="V73" s="131"/>
      <c r="W73" s="130"/>
      <c r="X73" s="130"/>
      <c r="Y73" s="132"/>
      <c r="AA73" s="137">
        <f t="shared" si="2"/>
        <v>13</v>
      </c>
      <c r="AB73" s="130">
        <v>2</v>
      </c>
      <c r="AC73" s="130">
        <v>1</v>
      </c>
      <c r="AD73" s="131"/>
      <c r="AE73" s="130"/>
      <c r="AF73" s="130"/>
      <c r="AG73" s="132"/>
    </row>
    <row r="74" spans="2:33" ht="18.75" customHeight="1" x14ac:dyDescent="0.5">
      <c r="B74" s="138">
        <f t="shared" si="3"/>
        <v>13</v>
      </c>
      <c r="C74" s="134">
        <v>2</v>
      </c>
      <c r="D74" s="134">
        <v>2</v>
      </c>
      <c r="E74" s="135"/>
      <c r="F74" s="134"/>
      <c r="G74" s="134"/>
      <c r="H74" s="136"/>
      <c r="I74" s="44"/>
      <c r="J74" s="138">
        <f t="shared" si="0"/>
        <v>13</v>
      </c>
      <c r="K74" s="134">
        <v>2</v>
      </c>
      <c r="L74" s="134">
        <v>2</v>
      </c>
      <c r="M74" s="135"/>
      <c r="N74" s="134"/>
      <c r="O74" s="134"/>
      <c r="P74" s="136"/>
      <c r="Q74" s="44"/>
      <c r="R74" s="44"/>
      <c r="S74" s="138">
        <f t="shared" si="1"/>
        <v>13</v>
      </c>
      <c r="T74" s="134">
        <v>2</v>
      </c>
      <c r="U74" s="134">
        <v>2</v>
      </c>
      <c r="V74" s="135"/>
      <c r="W74" s="134"/>
      <c r="X74" s="134"/>
      <c r="Y74" s="136"/>
      <c r="AA74" s="138">
        <f t="shared" si="2"/>
        <v>13</v>
      </c>
      <c r="AB74" s="134">
        <v>2</v>
      </c>
      <c r="AC74" s="134">
        <v>2</v>
      </c>
      <c r="AD74" s="135"/>
      <c r="AE74" s="134"/>
      <c r="AF74" s="134"/>
      <c r="AG74" s="136"/>
    </row>
    <row r="75" spans="2:33" ht="18.75" customHeight="1" x14ac:dyDescent="0.5">
      <c r="B75" s="129">
        <f t="shared" si="3"/>
        <v>14</v>
      </c>
      <c r="C75" s="130">
        <v>1</v>
      </c>
      <c r="D75" s="130">
        <v>1</v>
      </c>
      <c r="E75" s="131"/>
      <c r="F75" s="130"/>
      <c r="G75" s="130"/>
      <c r="H75" s="132"/>
      <c r="I75" s="44"/>
      <c r="J75" s="129">
        <f t="shared" si="0"/>
        <v>14</v>
      </c>
      <c r="K75" s="130">
        <v>1</v>
      </c>
      <c r="L75" s="130">
        <v>1</v>
      </c>
      <c r="M75" s="131"/>
      <c r="N75" s="130"/>
      <c r="O75" s="130"/>
      <c r="P75" s="132"/>
      <c r="Q75" s="44"/>
      <c r="R75" s="44"/>
      <c r="S75" s="129">
        <f t="shared" si="1"/>
        <v>14</v>
      </c>
      <c r="T75" s="130">
        <v>1</v>
      </c>
      <c r="U75" s="130">
        <v>1</v>
      </c>
      <c r="V75" s="131"/>
      <c r="W75" s="130"/>
      <c r="X75" s="130"/>
      <c r="Y75" s="132"/>
      <c r="AA75" s="129">
        <f t="shared" si="2"/>
        <v>14</v>
      </c>
      <c r="AB75" s="130">
        <v>1</v>
      </c>
      <c r="AC75" s="130">
        <v>1</v>
      </c>
      <c r="AD75" s="131"/>
      <c r="AE75" s="130"/>
      <c r="AF75" s="130"/>
      <c r="AG75" s="132"/>
    </row>
    <row r="76" spans="2:33" ht="18.75" customHeight="1" x14ac:dyDescent="0.5">
      <c r="B76" s="133">
        <f t="shared" si="3"/>
        <v>14</v>
      </c>
      <c r="C76" s="134">
        <v>1</v>
      </c>
      <c r="D76" s="134">
        <v>2</v>
      </c>
      <c r="E76" s="135"/>
      <c r="F76" s="134"/>
      <c r="G76" s="134"/>
      <c r="H76" s="136"/>
      <c r="I76" s="44"/>
      <c r="J76" s="133">
        <f t="shared" si="0"/>
        <v>14</v>
      </c>
      <c r="K76" s="134">
        <v>1</v>
      </c>
      <c r="L76" s="134">
        <v>2</v>
      </c>
      <c r="M76" s="135"/>
      <c r="N76" s="134"/>
      <c r="O76" s="134"/>
      <c r="P76" s="136"/>
      <c r="Q76" s="44"/>
      <c r="R76" s="44"/>
      <c r="S76" s="133">
        <f t="shared" si="1"/>
        <v>14</v>
      </c>
      <c r="T76" s="134">
        <v>1</v>
      </c>
      <c r="U76" s="134">
        <v>2</v>
      </c>
      <c r="V76" s="135"/>
      <c r="W76" s="134"/>
      <c r="X76" s="134"/>
      <c r="Y76" s="136"/>
      <c r="AA76" s="133">
        <f t="shared" si="2"/>
        <v>14</v>
      </c>
      <c r="AB76" s="134">
        <v>1</v>
      </c>
      <c r="AC76" s="134">
        <v>2</v>
      </c>
      <c r="AD76" s="135"/>
      <c r="AE76" s="134"/>
      <c r="AF76" s="134"/>
      <c r="AG76" s="136"/>
    </row>
    <row r="77" spans="2:33" ht="18.75" customHeight="1" x14ac:dyDescent="0.5">
      <c r="B77" s="129">
        <f t="shared" si="3"/>
        <v>14</v>
      </c>
      <c r="C77" s="130">
        <v>2</v>
      </c>
      <c r="D77" s="130">
        <v>1</v>
      </c>
      <c r="E77" s="131"/>
      <c r="F77" s="130"/>
      <c r="G77" s="130"/>
      <c r="H77" s="132"/>
      <c r="I77" s="44"/>
      <c r="J77" s="129">
        <f t="shared" si="0"/>
        <v>14</v>
      </c>
      <c r="K77" s="130">
        <v>2</v>
      </c>
      <c r="L77" s="130">
        <v>1</v>
      </c>
      <c r="M77" s="131"/>
      <c r="N77" s="130"/>
      <c r="O77" s="130"/>
      <c r="P77" s="132"/>
      <c r="Q77" s="44"/>
      <c r="R77" s="44"/>
      <c r="S77" s="129">
        <f t="shared" si="1"/>
        <v>14</v>
      </c>
      <c r="T77" s="130">
        <v>2</v>
      </c>
      <c r="U77" s="130">
        <v>1</v>
      </c>
      <c r="V77" s="131"/>
      <c r="W77" s="130"/>
      <c r="X77" s="130"/>
      <c r="Y77" s="132"/>
      <c r="AA77" s="129">
        <f t="shared" si="2"/>
        <v>14</v>
      </c>
      <c r="AB77" s="130">
        <v>2</v>
      </c>
      <c r="AC77" s="130">
        <v>1</v>
      </c>
      <c r="AD77" s="131"/>
      <c r="AE77" s="130"/>
      <c r="AF77" s="130"/>
      <c r="AG77" s="132"/>
    </row>
    <row r="78" spans="2:33" ht="18.75" customHeight="1" x14ac:dyDescent="0.5">
      <c r="B78" s="133">
        <f t="shared" si="3"/>
        <v>14</v>
      </c>
      <c r="C78" s="134">
        <v>2</v>
      </c>
      <c r="D78" s="134">
        <v>2</v>
      </c>
      <c r="E78" s="135"/>
      <c r="F78" s="134"/>
      <c r="G78" s="134"/>
      <c r="H78" s="136"/>
      <c r="I78" s="44"/>
      <c r="J78" s="133">
        <f t="shared" si="0"/>
        <v>14</v>
      </c>
      <c r="K78" s="134">
        <v>2</v>
      </c>
      <c r="L78" s="134">
        <v>2</v>
      </c>
      <c r="M78" s="135"/>
      <c r="N78" s="134"/>
      <c r="O78" s="134"/>
      <c r="P78" s="136"/>
      <c r="Q78" s="44"/>
      <c r="R78" s="44"/>
      <c r="S78" s="133">
        <f t="shared" si="1"/>
        <v>14</v>
      </c>
      <c r="T78" s="134">
        <v>2</v>
      </c>
      <c r="U78" s="134">
        <v>2</v>
      </c>
      <c r="V78" s="135"/>
      <c r="W78" s="134"/>
      <c r="X78" s="134"/>
      <c r="Y78" s="136"/>
      <c r="AA78" s="133">
        <f t="shared" si="2"/>
        <v>14</v>
      </c>
      <c r="AB78" s="134">
        <v>2</v>
      </c>
      <c r="AC78" s="134">
        <v>2</v>
      </c>
      <c r="AD78" s="135"/>
      <c r="AE78" s="134"/>
      <c r="AF78" s="134"/>
      <c r="AG78" s="136"/>
    </row>
    <row r="79" spans="2:33" ht="18.75" customHeight="1" x14ac:dyDescent="0.5">
      <c r="B79" s="137">
        <f t="shared" si="3"/>
        <v>15</v>
      </c>
      <c r="C79" s="130">
        <v>1</v>
      </c>
      <c r="D79" s="130">
        <v>1</v>
      </c>
      <c r="E79" s="131"/>
      <c r="F79" s="130"/>
      <c r="G79" s="130"/>
      <c r="H79" s="132"/>
      <c r="I79" s="44"/>
      <c r="J79" s="137">
        <f t="shared" si="0"/>
        <v>15</v>
      </c>
      <c r="K79" s="130">
        <v>1</v>
      </c>
      <c r="L79" s="130">
        <v>1</v>
      </c>
      <c r="M79" s="131"/>
      <c r="N79" s="130"/>
      <c r="O79" s="130"/>
      <c r="P79" s="132"/>
      <c r="Q79" s="44"/>
      <c r="R79" s="44"/>
      <c r="S79" s="137">
        <f t="shared" si="1"/>
        <v>15</v>
      </c>
      <c r="T79" s="130">
        <v>1</v>
      </c>
      <c r="U79" s="130">
        <v>1</v>
      </c>
      <c r="V79" s="131"/>
      <c r="W79" s="130"/>
      <c r="X79" s="130"/>
      <c r="Y79" s="132"/>
      <c r="AA79" s="137">
        <f t="shared" si="2"/>
        <v>15</v>
      </c>
      <c r="AB79" s="130">
        <v>1</v>
      </c>
      <c r="AC79" s="130">
        <v>1</v>
      </c>
      <c r="AD79" s="131"/>
      <c r="AE79" s="130"/>
      <c r="AF79" s="130"/>
      <c r="AG79" s="132"/>
    </row>
    <row r="80" spans="2:33" ht="18.75" customHeight="1" x14ac:dyDescent="0.5">
      <c r="B80" s="138">
        <f t="shared" si="3"/>
        <v>15</v>
      </c>
      <c r="C80" s="134">
        <v>1</v>
      </c>
      <c r="D80" s="134">
        <v>2</v>
      </c>
      <c r="E80" s="135"/>
      <c r="F80" s="134"/>
      <c r="G80" s="134"/>
      <c r="H80" s="136"/>
      <c r="I80" s="44"/>
      <c r="J80" s="138">
        <f t="shared" si="0"/>
        <v>15</v>
      </c>
      <c r="K80" s="134">
        <v>1</v>
      </c>
      <c r="L80" s="134">
        <v>2</v>
      </c>
      <c r="M80" s="135"/>
      <c r="N80" s="134"/>
      <c r="O80" s="134"/>
      <c r="P80" s="136"/>
      <c r="Q80" s="44"/>
      <c r="R80" s="44"/>
      <c r="S80" s="138">
        <f t="shared" si="1"/>
        <v>15</v>
      </c>
      <c r="T80" s="134">
        <v>1</v>
      </c>
      <c r="U80" s="134">
        <v>2</v>
      </c>
      <c r="V80" s="135"/>
      <c r="W80" s="134"/>
      <c r="X80" s="134"/>
      <c r="Y80" s="136"/>
      <c r="AA80" s="138">
        <f t="shared" si="2"/>
        <v>15</v>
      </c>
      <c r="AB80" s="134">
        <v>1</v>
      </c>
      <c r="AC80" s="134">
        <v>2</v>
      </c>
      <c r="AD80" s="135"/>
      <c r="AE80" s="134"/>
      <c r="AF80" s="134"/>
      <c r="AG80" s="136"/>
    </row>
    <row r="81" spans="2:33" ht="18.75" customHeight="1" x14ac:dyDescent="0.5">
      <c r="B81" s="137">
        <f t="shared" si="3"/>
        <v>15</v>
      </c>
      <c r="C81" s="130">
        <v>2</v>
      </c>
      <c r="D81" s="130">
        <v>1</v>
      </c>
      <c r="E81" s="131"/>
      <c r="F81" s="130"/>
      <c r="G81" s="130"/>
      <c r="H81" s="132"/>
      <c r="I81" s="44"/>
      <c r="J81" s="137">
        <f t="shared" si="0"/>
        <v>15</v>
      </c>
      <c r="K81" s="130">
        <v>2</v>
      </c>
      <c r="L81" s="130">
        <v>1</v>
      </c>
      <c r="M81" s="131"/>
      <c r="N81" s="130"/>
      <c r="O81" s="130"/>
      <c r="P81" s="132"/>
      <c r="Q81" s="44"/>
      <c r="R81" s="44"/>
      <c r="S81" s="137">
        <f t="shared" si="1"/>
        <v>15</v>
      </c>
      <c r="T81" s="130">
        <v>2</v>
      </c>
      <c r="U81" s="130">
        <v>1</v>
      </c>
      <c r="V81" s="131"/>
      <c r="W81" s="130"/>
      <c r="X81" s="130"/>
      <c r="Y81" s="132"/>
      <c r="AA81" s="137">
        <f t="shared" si="2"/>
        <v>15</v>
      </c>
      <c r="AB81" s="130">
        <v>2</v>
      </c>
      <c r="AC81" s="130">
        <v>1</v>
      </c>
      <c r="AD81" s="131"/>
      <c r="AE81" s="130"/>
      <c r="AF81" s="130"/>
      <c r="AG81" s="132"/>
    </row>
    <row r="82" spans="2:33" ht="18.75" customHeight="1" x14ac:dyDescent="0.5">
      <c r="B82" s="138">
        <f t="shared" si="3"/>
        <v>15</v>
      </c>
      <c r="C82" s="134">
        <v>2</v>
      </c>
      <c r="D82" s="134">
        <v>2</v>
      </c>
      <c r="E82" s="135"/>
      <c r="F82" s="134"/>
      <c r="G82" s="134"/>
      <c r="H82" s="136"/>
      <c r="I82" s="44"/>
      <c r="J82" s="138">
        <f t="shared" si="0"/>
        <v>15</v>
      </c>
      <c r="K82" s="134">
        <v>2</v>
      </c>
      <c r="L82" s="134">
        <v>2</v>
      </c>
      <c r="M82" s="135"/>
      <c r="N82" s="134"/>
      <c r="O82" s="134"/>
      <c r="P82" s="136"/>
      <c r="Q82" s="44"/>
      <c r="R82" s="44"/>
      <c r="S82" s="138">
        <f t="shared" si="1"/>
        <v>15</v>
      </c>
      <c r="T82" s="134">
        <v>2</v>
      </c>
      <c r="U82" s="134">
        <v>2</v>
      </c>
      <c r="V82" s="135"/>
      <c r="W82" s="134"/>
      <c r="X82" s="134"/>
      <c r="Y82" s="136"/>
      <c r="AA82" s="138">
        <f t="shared" si="2"/>
        <v>15</v>
      </c>
      <c r="AB82" s="134">
        <v>2</v>
      </c>
      <c r="AC82" s="134">
        <v>2</v>
      </c>
      <c r="AD82" s="135"/>
      <c r="AE82" s="134"/>
      <c r="AF82" s="134"/>
      <c r="AG82" s="136"/>
    </row>
    <row r="83" spans="2:33" ht="18.75" customHeight="1" x14ac:dyDescent="0.5">
      <c r="B83" s="129">
        <f t="shared" si="3"/>
        <v>16</v>
      </c>
      <c r="C83" s="130">
        <v>1</v>
      </c>
      <c r="D83" s="130">
        <v>1</v>
      </c>
      <c r="E83" s="131"/>
      <c r="F83" s="130"/>
      <c r="G83" s="130"/>
      <c r="H83" s="132"/>
      <c r="I83" s="44"/>
      <c r="J83" s="129">
        <f t="shared" si="0"/>
        <v>16</v>
      </c>
      <c r="K83" s="130">
        <v>1</v>
      </c>
      <c r="L83" s="130">
        <v>1</v>
      </c>
      <c r="M83" s="131"/>
      <c r="N83" s="130"/>
      <c r="O83" s="130"/>
      <c r="P83" s="132"/>
      <c r="Q83" s="44"/>
      <c r="R83" s="44"/>
      <c r="S83" s="129">
        <f t="shared" si="1"/>
        <v>16</v>
      </c>
      <c r="T83" s="130">
        <v>1</v>
      </c>
      <c r="U83" s="130">
        <v>1</v>
      </c>
      <c r="V83" s="131"/>
      <c r="W83" s="130"/>
      <c r="X83" s="130"/>
      <c r="Y83" s="132"/>
      <c r="AA83" s="129">
        <f t="shared" si="2"/>
        <v>16</v>
      </c>
      <c r="AB83" s="130">
        <v>1</v>
      </c>
      <c r="AC83" s="130">
        <v>1</v>
      </c>
      <c r="AD83" s="131"/>
      <c r="AE83" s="130"/>
      <c r="AF83" s="130"/>
      <c r="AG83" s="132"/>
    </row>
    <row r="84" spans="2:33" ht="18.75" customHeight="1" x14ac:dyDescent="0.5">
      <c r="B84" s="133">
        <f t="shared" ref="B84:B138" si="4">INT((ROW()-23)/4)+1</f>
        <v>16</v>
      </c>
      <c r="C84" s="134">
        <v>1</v>
      </c>
      <c r="D84" s="134">
        <v>2</v>
      </c>
      <c r="E84" s="135"/>
      <c r="F84" s="134"/>
      <c r="G84" s="134"/>
      <c r="H84" s="136"/>
      <c r="I84" s="44"/>
      <c r="J84" s="133">
        <f t="shared" ref="J84:J138" si="5">INT((ROW()-23)/4)+1</f>
        <v>16</v>
      </c>
      <c r="K84" s="134">
        <v>1</v>
      </c>
      <c r="L84" s="134">
        <v>2</v>
      </c>
      <c r="M84" s="135"/>
      <c r="N84" s="134"/>
      <c r="O84" s="134"/>
      <c r="P84" s="136"/>
      <c r="Q84" s="44"/>
      <c r="R84" s="44"/>
      <c r="S84" s="133">
        <f t="shared" ref="S84:S138" si="6">INT((ROW()-23)/4)+1</f>
        <v>16</v>
      </c>
      <c r="T84" s="134">
        <v>1</v>
      </c>
      <c r="U84" s="134">
        <v>2</v>
      </c>
      <c r="V84" s="135"/>
      <c r="W84" s="134"/>
      <c r="X84" s="134"/>
      <c r="Y84" s="136"/>
      <c r="AA84" s="133">
        <f t="shared" ref="AA84:AA138" si="7">INT((ROW()-23)/4)+1</f>
        <v>16</v>
      </c>
      <c r="AB84" s="134">
        <v>1</v>
      </c>
      <c r="AC84" s="134">
        <v>2</v>
      </c>
      <c r="AD84" s="135"/>
      <c r="AE84" s="134"/>
      <c r="AF84" s="134"/>
      <c r="AG84" s="136"/>
    </row>
    <row r="85" spans="2:33" ht="18.75" customHeight="1" x14ac:dyDescent="0.5">
      <c r="B85" s="129">
        <f t="shared" si="4"/>
        <v>16</v>
      </c>
      <c r="C85" s="130">
        <v>2</v>
      </c>
      <c r="D85" s="130">
        <v>1</v>
      </c>
      <c r="E85" s="131"/>
      <c r="F85" s="130"/>
      <c r="G85" s="130"/>
      <c r="H85" s="132"/>
      <c r="I85" s="44"/>
      <c r="J85" s="129">
        <f t="shared" si="5"/>
        <v>16</v>
      </c>
      <c r="K85" s="130">
        <v>2</v>
      </c>
      <c r="L85" s="130">
        <v>1</v>
      </c>
      <c r="M85" s="131"/>
      <c r="N85" s="130"/>
      <c r="O85" s="130"/>
      <c r="P85" s="132"/>
      <c r="Q85" s="44"/>
      <c r="R85" s="44"/>
      <c r="S85" s="129">
        <f t="shared" si="6"/>
        <v>16</v>
      </c>
      <c r="T85" s="130">
        <v>2</v>
      </c>
      <c r="U85" s="130">
        <v>1</v>
      </c>
      <c r="V85" s="131"/>
      <c r="W85" s="130"/>
      <c r="X85" s="130"/>
      <c r="Y85" s="132"/>
      <c r="AA85" s="129">
        <f t="shared" si="7"/>
        <v>16</v>
      </c>
      <c r="AB85" s="130">
        <v>2</v>
      </c>
      <c r="AC85" s="130">
        <v>1</v>
      </c>
      <c r="AD85" s="131"/>
      <c r="AE85" s="130"/>
      <c r="AF85" s="130"/>
      <c r="AG85" s="132"/>
    </row>
    <row r="86" spans="2:33" ht="18.75" customHeight="1" x14ac:dyDescent="0.5">
      <c r="B86" s="133">
        <f t="shared" si="4"/>
        <v>16</v>
      </c>
      <c r="C86" s="134">
        <v>2</v>
      </c>
      <c r="D86" s="134">
        <v>2</v>
      </c>
      <c r="E86" s="135"/>
      <c r="F86" s="134"/>
      <c r="G86" s="134"/>
      <c r="H86" s="136"/>
      <c r="I86" s="44"/>
      <c r="J86" s="133">
        <f t="shared" si="5"/>
        <v>16</v>
      </c>
      <c r="K86" s="134">
        <v>2</v>
      </c>
      <c r="L86" s="134">
        <v>2</v>
      </c>
      <c r="M86" s="135"/>
      <c r="N86" s="134"/>
      <c r="O86" s="134"/>
      <c r="P86" s="136"/>
      <c r="Q86" s="44"/>
      <c r="R86" s="44"/>
      <c r="S86" s="133">
        <f t="shared" si="6"/>
        <v>16</v>
      </c>
      <c r="T86" s="134">
        <v>2</v>
      </c>
      <c r="U86" s="134">
        <v>2</v>
      </c>
      <c r="V86" s="135"/>
      <c r="W86" s="134"/>
      <c r="X86" s="134"/>
      <c r="Y86" s="136"/>
      <c r="AA86" s="133">
        <f t="shared" si="7"/>
        <v>16</v>
      </c>
      <c r="AB86" s="134">
        <v>2</v>
      </c>
      <c r="AC86" s="134">
        <v>2</v>
      </c>
      <c r="AD86" s="135"/>
      <c r="AE86" s="134"/>
      <c r="AF86" s="134"/>
      <c r="AG86" s="136"/>
    </row>
    <row r="87" spans="2:33" ht="18.75" customHeight="1" x14ac:dyDescent="0.5">
      <c r="B87" s="137">
        <f t="shared" si="4"/>
        <v>17</v>
      </c>
      <c r="C87" s="130">
        <v>1</v>
      </c>
      <c r="D87" s="130">
        <v>1</v>
      </c>
      <c r="E87" s="131"/>
      <c r="F87" s="130"/>
      <c r="G87" s="130"/>
      <c r="H87" s="132"/>
      <c r="I87" s="44"/>
      <c r="J87" s="137">
        <f t="shared" si="5"/>
        <v>17</v>
      </c>
      <c r="K87" s="130">
        <v>1</v>
      </c>
      <c r="L87" s="130">
        <v>1</v>
      </c>
      <c r="M87" s="131"/>
      <c r="N87" s="130"/>
      <c r="O87" s="130"/>
      <c r="P87" s="132"/>
      <c r="Q87" s="44"/>
      <c r="R87" s="44"/>
      <c r="S87" s="137">
        <f t="shared" si="6"/>
        <v>17</v>
      </c>
      <c r="T87" s="130">
        <v>1</v>
      </c>
      <c r="U87" s="130">
        <v>1</v>
      </c>
      <c r="V87" s="131"/>
      <c r="W87" s="130"/>
      <c r="X87" s="130"/>
      <c r="Y87" s="132"/>
      <c r="AA87" s="137">
        <f t="shared" si="7"/>
        <v>17</v>
      </c>
      <c r="AB87" s="130">
        <v>1</v>
      </c>
      <c r="AC87" s="130">
        <v>1</v>
      </c>
      <c r="AD87" s="131"/>
      <c r="AE87" s="130"/>
      <c r="AF87" s="130"/>
      <c r="AG87" s="132"/>
    </row>
    <row r="88" spans="2:33" ht="18.75" customHeight="1" x14ac:dyDescent="0.5">
      <c r="B88" s="138">
        <f t="shared" si="4"/>
        <v>17</v>
      </c>
      <c r="C88" s="134">
        <v>1</v>
      </c>
      <c r="D88" s="134">
        <v>2</v>
      </c>
      <c r="E88" s="135"/>
      <c r="F88" s="134"/>
      <c r="G88" s="134"/>
      <c r="H88" s="136"/>
      <c r="I88" s="44"/>
      <c r="J88" s="138">
        <f t="shared" si="5"/>
        <v>17</v>
      </c>
      <c r="K88" s="134">
        <v>1</v>
      </c>
      <c r="L88" s="134">
        <v>2</v>
      </c>
      <c r="M88" s="135"/>
      <c r="N88" s="134"/>
      <c r="O88" s="134"/>
      <c r="P88" s="136"/>
      <c r="Q88" s="44"/>
      <c r="R88" s="44"/>
      <c r="S88" s="138">
        <f t="shared" si="6"/>
        <v>17</v>
      </c>
      <c r="T88" s="134">
        <v>1</v>
      </c>
      <c r="U88" s="134">
        <v>2</v>
      </c>
      <c r="V88" s="135"/>
      <c r="W88" s="134"/>
      <c r="X88" s="134"/>
      <c r="Y88" s="136"/>
      <c r="AA88" s="138">
        <f t="shared" si="7"/>
        <v>17</v>
      </c>
      <c r="AB88" s="134">
        <v>1</v>
      </c>
      <c r="AC88" s="134">
        <v>2</v>
      </c>
      <c r="AD88" s="135"/>
      <c r="AE88" s="134"/>
      <c r="AF88" s="134"/>
      <c r="AG88" s="136"/>
    </row>
    <row r="89" spans="2:33" ht="18.75" customHeight="1" x14ac:dyDescent="0.5">
      <c r="B89" s="137">
        <f t="shared" si="4"/>
        <v>17</v>
      </c>
      <c r="C89" s="130">
        <v>2</v>
      </c>
      <c r="D89" s="130">
        <v>1</v>
      </c>
      <c r="E89" s="131"/>
      <c r="F89" s="130"/>
      <c r="G89" s="130"/>
      <c r="H89" s="132"/>
      <c r="I89" s="44"/>
      <c r="J89" s="137">
        <f t="shared" si="5"/>
        <v>17</v>
      </c>
      <c r="K89" s="130">
        <v>2</v>
      </c>
      <c r="L89" s="130">
        <v>1</v>
      </c>
      <c r="M89" s="131"/>
      <c r="N89" s="130"/>
      <c r="O89" s="130"/>
      <c r="P89" s="132"/>
      <c r="Q89" s="44"/>
      <c r="R89" s="44"/>
      <c r="S89" s="137">
        <f t="shared" si="6"/>
        <v>17</v>
      </c>
      <c r="T89" s="130">
        <v>2</v>
      </c>
      <c r="U89" s="130">
        <v>1</v>
      </c>
      <c r="V89" s="131"/>
      <c r="W89" s="130"/>
      <c r="X89" s="130"/>
      <c r="Y89" s="132"/>
      <c r="AA89" s="137">
        <f t="shared" si="7"/>
        <v>17</v>
      </c>
      <c r="AB89" s="130">
        <v>2</v>
      </c>
      <c r="AC89" s="130">
        <v>1</v>
      </c>
      <c r="AD89" s="131"/>
      <c r="AE89" s="130"/>
      <c r="AF89" s="130"/>
      <c r="AG89" s="132"/>
    </row>
    <row r="90" spans="2:33" ht="18.75" customHeight="1" x14ac:dyDescent="0.5">
      <c r="B90" s="138">
        <f t="shared" si="4"/>
        <v>17</v>
      </c>
      <c r="C90" s="134">
        <v>2</v>
      </c>
      <c r="D90" s="134">
        <v>2</v>
      </c>
      <c r="E90" s="135"/>
      <c r="F90" s="134"/>
      <c r="G90" s="134"/>
      <c r="H90" s="136"/>
      <c r="I90" s="44"/>
      <c r="J90" s="138">
        <f t="shared" si="5"/>
        <v>17</v>
      </c>
      <c r="K90" s="134">
        <v>2</v>
      </c>
      <c r="L90" s="134">
        <v>2</v>
      </c>
      <c r="M90" s="135"/>
      <c r="N90" s="134"/>
      <c r="O90" s="134"/>
      <c r="P90" s="136"/>
      <c r="Q90" s="44"/>
      <c r="R90" s="44"/>
      <c r="S90" s="138">
        <f t="shared" si="6"/>
        <v>17</v>
      </c>
      <c r="T90" s="134">
        <v>2</v>
      </c>
      <c r="U90" s="134">
        <v>2</v>
      </c>
      <c r="V90" s="135"/>
      <c r="W90" s="134"/>
      <c r="X90" s="134"/>
      <c r="Y90" s="136"/>
      <c r="AA90" s="138">
        <f t="shared" si="7"/>
        <v>17</v>
      </c>
      <c r="AB90" s="134">
        <v>2</v>
      </c>
      <c r="AC90" s="134">
        <v>2</v>
      </c>
      <c r="AD90" s="135"/>
      <c r="AE90" s="134"/>
      <c r="AF90" s="134"/>
      <c r="AG90" s="136"/>
    </row>
    <row r="91" spans="2:33" ht="18.75" customHeight="1" x14ac:dyDescent="0.5">
      <c r="B91" s="129">
        <f t="shared" si="4"/>
        <v>18</v>
      </c>
      <c r="C91" s="130">
        <v>1</v>
      </c>
      <c r="D91" s="130">
        <v>1</v>
      </c>
      <c r="E91" s="131"/>
      <c r="F91" s="130"/>
      <c r="G91" s="130"/>
      <c r="H91" s="132"/>
      <c r="I91" s="44"/>
      <c r="J91" s="129">
        <f t="shared" si="5"/>
        <v>18</v>
      </c>
      <c r="K91" s="130">
        <v>1</v>
      </c>
      <c r="L91" s="130">
        <v>1</v>
      </c>
      <c r="M91" s="131"/>
      <c r="N91" s="130"/>
      <c r="O91" s="130"/>
      <c r="P91" s="132"/>
      <c r="Q91" s="44"/>
      <c r="R91" s="44"/>
      <c r="S91" s="129">
        <f t="shared" si="6"/>
        <v>18</v>
      </c>
      <c r="T91" s="130">
        <v>1</v>
      </c>
      <c r="U91" s="130">
        <v>1</v>
      </c>
      <c r="V91" s="131"/>
      <c r="W91" s="130"/>
      <c r="X91" s="130"/>
      <c r="Y91" s="132"/>
      <c r="AA91" s="129">
        <f t="shared" si="7"/>
        <v>18</v>
      </c>
      <c r="AB91" s="130">
        <v>1</v>
      </c>
      <c r="AC91" s="130">
        <v>1</v>
      </c>
      <c r="AD91" s="131"/>
      <c r="AE91" s="130"/>
      <c r="AF91" s="130"/>
      <c r="AG91" s="132"/>
    </row>
    <row r="92" spans="2:33" ht="18.75" customHeight="1" x14ac:dyDescent="0.5">
      <c r="B92" s="133">
        <f t="shared" si="4"/>
        <v>18</v>
      </c>
      <c r="C92" s="134">
        <v>1</v>
      </c>
      <c r="D92" s="134">
        <v>2</v>
      </c>
      <c r="E92" s="135"/>
      <c r="F92" s="134"/>
      <c r="G92" s="134"/>
      <c r="H92" s="136"/>
      <c r="I92" s="44"/>
      <c r="J92" s="133">
        <f t="shared" si="5"/>
        <v>18</v>
      </c>
      <c r="K92" s="134">
        <v>1</v>
      </c>
      <c r="L92" s="134">
        <v>2</v>
      </c>
      <c r="M92" s="135"/>
      <c r="N92" s="134"/>
      <c r="O92" s="134"/>
      <c r="P92" s="136"/>
      <c r="Q92" s="44"/>
      <c r="R92" s="44"/>
      <c r="S92" s="133">
        <f t="shared" si="6"/>
        <v>18</v>
      </c>
      <c r="T92" s="134">
        <v>1</v>
      </c>
      <c r="U92" s="134">
        <v>2</v>
      </c>
      <c r="V92" s="135"/>
      <c r="W92" s="134"/>
      <c r="X92" s="134"/>
      <c r="Y92" s="136"/>
      <c r="AA92" s="133">
        <f t="shared" si="7"/>
        <v>18</v>
      </c>
      <c r="AB92" s="134">
        <v>1</v>
      </c>
      <c r="AC92" s="134">
        <v>2</v>
      </c>
      <c r="AD92" s="135"/>
      <c r="AE92" s="134"/>
      <c r="AF92" s="134"/>
      <c r="AG92" s="136"/>
    </row>
    <row r="93" spans="2:33" ht="18.75" customHeight="1" x14ac:dyDescent="0.5">
      <c r="B93" s="129">
        <f t="shared" si="4"/>
        <v>18</v>
      </c>
      <c r="C93" s="130">
        <v>2</v>
      </c>
      <c r="D93" s="130">
        <v>1</v>
      </c>
      <c r="E93" s="131"/>
      <c r="F93" s="130"/>
      <c r="G93" s="130"/>
      <c r="H93" s="132"/>
      <c r="I93" s="44"/>
      <c r="J93" s="129">
        <f t="shared" si="5"/>
        <v>18</v>
      </c>
      <c r="K93" s="130">
        <v>2</v>
      </c>
      <c r="L93" s="130">
        <v>1</v>
      </c>
      <c r="M93" s="131"/>
      <c r="N93" s="130"/>
      <c r="O93" s="130"/>
      <c r="P93" s="132"/>
      <c r="Q93" s="44"/>
      <c r="R93" s="44"/>
      <c r="S93" s="129">
        <f t="shared" si="6"/>
        <v>18</v>
      </c>
      <c r="T93" s="130">
        <v>2</v>
      </c>
      <c r="U93" s="130">
        <v>1</v>
      </c>
      <c r="V93" s="131"/>
      <c r="W93" s="130"/>
      <c r="X93" s="130"/>
      <c r="Y93" s="132"/>
      <c r="AA93" s="129">
        <f t="shared" si="7"/>
        <v>18</v>
      </c>
      <c r="AB93" s="130">
        <v>2</v>
      </c>
      <c r="AC93" s="130">
        <v>1</v>
      </c>
      <c r="AD93" s="131"/>
      <c r="AE93" s="130"/>
      <c r="AF93" s="130"/>
      <c r="AG93" s="132"/>
    </row>
    <row r="94" spans="2:33" ht="18.75" customHeight="1" x14ac:dyDescent="0.5">
      <c r="B94" s="133">
        <f t="shared" si="4"/>
        <v>18</v>
      </c>
      <c r="C94" s="134">
        <v>2</v>
      </c>
      <c r="D94" s="134">
        <v>2</v>
      </c>
      <c r="E94" s="135"/>
      <c r="F94" s="134"/>
      <c r="G94" s="134"/>
      <c r="H94" s="136"/>
      <c r="I94" s="44"/>
      <c r="J94" s="133">
        <f t="shared" si="5"/>
        <v>18</v>
      </c>
      <c r="K94" s="134">
        <v>2</v>
      </c>
      <c r="L94" s="134">
        <v>2</v>
      </c>
      <c r="M94" s="135"/>
      <c r="N94" s="134"/>
      <c r="O94" s="134"/>
      <c r="P94" s="136"/>
      <c r="Q94" s="44"/>
      <c r="R94" s="44"/>
      <c r="S94" s="133">
        <f t="shared" si="6"/>
        <v>18</v>
      </c>
      <c r="T94" s="134">
        <v>2</v>
      </c>
      <c r="U94" s="134">
        <v>2</v>
      </c>
      <c r="V94" s="135"/>
      <c r="W94" s="134"/>
      <c r="X94" s="134"/>
      <c r="Y94" s="136"/>
      <c r="AA94" s="133">
        <f t="shared" si="7"/>
        <v>18</v>
      </c>
      <c r="AB94" s="134">
        <v>2</v>
      </c>
      <c r="AC94" s="134">
        <v>2</v>
      </c>
      <c r="AD94" s="135"/>
      <c r="AE94" s="134"/>
      <c r="AF94" s="134"/>
      <c r="AG94" s="136"/>
    </row>
    <row r="95" spans="2:33" ht="18.75" customHeight="1" x14ac:dyDescent="0.5">
      <c r="B95" s="137">
        <f t="shared" si="4"/>
        <v>19</v>
      </c>
      <c r="C95" s="130">
        <v>1</v>
      </c>
      <c r="D95" s="130">
        <v>1</v>
      </c>
      <c r="E95" s="131"/>
      <c r="F95" s="130"/>
      <c r="G95" s="130"/>
      <c r="H95" s="132"/>
      <c r="I95" s="44"/>
      <c r="J95" s="137">
        <f t="shared" si="5"/>
        <v>19</v>
      </c>
      <c r="K95" s="130">
        <v>1</v>
      </c>
      <c r="L95" s="130">
        <v>1</v>
      </c>
      <c r="M95" s="131"/>
      <c r="N95" s="130"/>
      <c r="O95" s="130"/>
      <c r="P95" s="132"/>
      <c r="Q95" s="44"/>
      <c r="R95" s="44"/>
      <c r="S95" s="137">
        <f t="shared" si="6"/>
        <v>19</v>
      </c>
      <c r="T95" s="130">
        <v>1</v>
      </c>
      <c r="U95" s="130">
        <v>1</v>
      </c>
      <c r="V95" s="131"/>
      <c r="W95" s="130"/>
      <c r="X95" s="130"/>
      <c r="Y95" s="132"/>
      <c r="AA95" s="137">
        <f t="shared" si="7"/>
        <v>19</v>
      </c>
      <c r="AB95" s="130">
        <v>1</v>
      </c>
      <c r="AC95" s="130">
        <v>1</v>
      </c>
      <c r="AD95" s="131"/>
      <c r="AE95" s="130"/>
      <c r="AF95" s="130"/>
      <c r="AG95" s="132"/>
    </row>
    <row r="96" spans="2:33" ht="18.75" customHeight="1" x14ac:dyDescent="0.5">
      <c r="B96" s="138">
        <f t="shared" si="4"/>
        <v>19</v>
      </c>
      <c r="C96" s="134">
        <v>1</v>
      </c>
      <c r="D96" s="134">
        <v>2</v>
      </c>
      <c r="E96" s="135"/>
      <c r="F96" s="134"/>
      <c r="G96" s="134"/>
      <c r="H96" s="136"/>
      <c r="I96" s="44"/>
      <c r="J96" s="138">
        <f t="shared" si="5"/>
        <v>19</v>
      </c>
      <c r="K96" s="134">
        <v>1</v>
      </c>
      <c r="L96" s="134">
        <v>2</v>
      </c>
      <c r="M96" s="135"/>
      <c r="N96" s="134"/>
      <c r="O96" s="134"/>
      <c r="P96" s="136"/>
      <c r="Q96" s="44"/>
      <c r="R96" s="44"/>
      <c r="S96" s="138">
        <f t="shared" si="6"/>
        <v>19</v>
      </c>
      <c r="T96" s="134">
        <v>1</v>
      </c>
      <c r="U96" s="134">
        <v>2</v>
      </c>
      <c r="V96" s="135"/>
      <c r="W96" s="134"/>
      <c r="X96" s="134"/>
      <c r="Y96" s="136"/>
      <c r="AA96" s="138">
        <f t="shared" si="7"/>
        <v>19</v>
      </c>
      <c r="AB96" s="134">
        <v>1</v>
      </c>
      <c r="AC96" s="134">
        <v>2</v>
      </c>
      <c r="AD96" s="135"/>
      <c r="AE96" s="134"/>
      <c r="AF96" s="134"/>
      <c r="AG96" s="136"/>
    </row>
    <row r="97" spans="2:33" ht="18.75" customHeight="1" x14ac:dyDescent="0.5">
      <c r="B97" s="137">
        <f t="shared" si="4"/>
        <v>19</v>
      </c>
      <c r="C97" s="130">
        <v>2</v>
      </c>
      <c r="D97" s="130">
        <v>1</v>
      </c>
      <c r="E97" s="131"/>
      <c r="F97" s="130"/>
      <c r="G97" s="130"/>
      <c r="H97" s="132"/>
      <c r="I97" s="44"/>
      <c r="J97" s="137">
        <f t="shared" si="5"/>
        <v>19</v>
      </c>
      <c r="K97" s="130">
        <v>2</v>
      </c>
      <c r="L97" s="130">
        <v>1</v>
      </c>
      <c r="M97" s="131"/>
      <c r="N97" s="130"/>
      <c r="O97" s="130"/>
      <c r="P97" s="132"/>
      <c r="Q97" s="44"/>
      <c r="R97" s="44"/>
      <c r="S97" s="137">
        <f t="shared" si="6"/>
        <v>19</v>
      </c>
      <c r="T97" s="130">
        <v>2</v>
      </c>
      <c r="U97" s="130">
        <v>1</v>
      </c>
      <c r="V97" s="131"/>
      <c r="W97" s="130"/>
      <c r="X97" s="130"/>
      <c r="Y97" s="132"/>
      <c r="AA97" s="137">
        <f t="shared" si="7"/>
        <v>19</v>
      </c>
      <c r="AB97" s="130">
        <v>2</v>
      </c>
      <c r="AC97" s="130">
        <v>1</v>
      </c>
      <c r="AD97" s="131"/>
      <c r="AE97" s="130"/>
      <c r="AF97" s="130"/>
      <c r="AG97" s="132"/>
    </row>
    <row r="98" spans="2:33" ht="18.75" customHeight="1" x14ac:dyDescent="0.5">
      <c r="B98" s="138">
        <f t="shared" si="4"/>
        <v>19</v>
      </c>
      <c r="C98" s="134">
        <v>2</v>
      </c>
      <c r="D98" s="134">
        <v>2</v>
      </c>
      <c r="E98" s="135"/>
      <c r="F98" s="134"/>
      <c r="G98" s="134"/>
      <c r="H98" s="136"/>
      <c r="I98" s="44"/>
      <c r="J98" s="138">
        <f t="shared" si="5"/>
        <v>19</v>
      </c>
      <c r="K98" s="134">
        <v>2</v>
      </c>
      <c r="L98" s="134">
        <v>2</v>
      </c>
      <c r="M98" s="135"/>
      <c r="N98" s="134"/>
      <c r="O98" s="134"/>
      <c r="P98" s="136"/>
      <c r="Q98" s="44"/>
      <c r="R98" s="44"/>
      <c r="S98" s="138">
        <f t="shared" si="6"/>
        <v>19</v>
      </c>
      <c r="T98" s="134">
        <v>2</v>
      </c>
      <c r="U98" s="134">
        <v>2</v>
      </c>
      <c r="V98" s="135"/>
      <c r="W98" s="134"/>
      <c r="X98" s="134"/>
      <c r="Y98" s="136"/>
      <c r="AA98" s="138">
        <f t="shared" si="7"/>
        <v>19</v>
      </c>
      <c r="AB98" s="134">
        <v>2</v>
      </c>
      <c r="AC98" s="134">
        <v>2</v>
      </c>
      <c r="AD98" s="135"/>
      <c r="AE98" s="134"/>
      <c r="AF98" s="134"/>
      <c r="AG98" s="136"/>
    </row>
    <row r="99" spans="2:33" ht="18.75" customHeight="1" x14ac:dyDescent="0.5">
      <c r="B99" s="129">
        <f t="shared" si="4"/>
        <v>20</v>
      </c>
      <c r="C99" s="130">
        <v>1</v>
      </c>
      <c r="D99" s="130">
        <v>1</v>
      </c>
      <c r="E99" s="131"/>
      <c r="F99" s="130"/>
      <c r="G99" s="130"/>
      <c r="H99" s="132"/>
      <c r="I99" s="44"/>
      <c r="J99" s="129">
        <f t="shared" si="5"/>
        <v>20</v>
      </c>
      <c r="K99" s="130">
        <v>1</v>
      </c>
      <c r="L99" s="130">
        <v>1</v>
      </c>
      <c r="M99" s="131"/>
      <c r="N99" s="130"/>
      <c r="O99" s="130"/>
      <c r="P99" s="132"/>
      <c r="Q99" s="44"/>
      <c r="R99" s="44"/>
      <c r="S99" s="129">
        <f t="shared" si="6"/>
        <v>20</v>
      </c>
      <c r="T99" s="130">
        <v>1</v>
      </c>
      <c r="U99" s="130">
        <v>1</v>
      </c>
      <c r="V99" s="131"/>
      <c r="W99" s="130"/>
      <c r="X99" s="130"/>
      <c r="Y99" s="132"/>
      <c r="AA99" s="129">
        <f t="shared" si="7"/>
        <v>20</v>
      </c>
      <c r="AB99" s="130">
        <v>1</v>
      </c>
      <c r="AC99" s="130">
        <v>1</v>
      </c>
      <c r="AD99" s="131"/>
      <c r="AE99" s="130"/>
      <c r="AF99" s="130"/>
      <c r="AG99" s="132"/>
    </row>
    <row r="100" spans="2:33" ht="18.75" customHeight="1" x14ac:dyDescent="0.5">
      <c r="B100" s="133">
        <f t="shared" si="4"/>
        <v>20</v>
      </c>
      <c r="C100" s="134">
        <v>1</v>
      </c>
      <c r="D100" s="134">
        <v>2</v>
      </c>
      <c r="E100" s="135"/>
      <c r="F100" s="134"/>
      <c r="G100" s="134"/>
      <c r="H100" s="136"/>
      <c r="I100" s="44"/>
      <c r="J100" s="133">
        <f t="shared" si="5"/>
        <v>20</v>
      </c>
      <c r="K100" s="134">
        <v>1</v>
      </c>
      <c r="L100" s="134">
        <v>2</v>
      </c>
      <c r="M100" s="135"/>
      <c r="N100" s="134"/>
      <c r="O100" s="134"/>
      <c r="P100" s="136"/>
      <c r="Q100" s="44"/>
      <c r="R100" s="44"/>
      <c r="S100" s="133">
        <f t="shared" si="6"/>
        <v>20</v>
      </c>
      <c r="T100" s="134">
        <v>1</v>
      </c>
      <c r="U100" s="134">
        <v>2</v>
      </c>
      <c r="V100" s="135"/>
      <c r="W100" s="134"/>
      <c r="X100" s="134"/>
      <c r="Y100" s="136"/>
      <c r="AA100" s="133">
        <f t="shared" si="7"/>
        <v>20</v>
      </c>
      <c r="AB100" s="134">
        <v>1</v>
      </c>
      <c r="AC100" s="134">
        <v>2</v>
      </c>
      <c r="AD100" s="135"/>
      <c r="AE100" s="134"/>
      <c r="AF100" s="134"/>
      <c r="AG100" s="136"/>
    </row>
    <row r="101" spans="2:33" ht="18.75" customHeight="1" x14ac:dyDescent="0.5">
      <c r="B101" s="129">
        <f t="shared" si="4"/>
        <v>20</v>
      </c>
      <c r="C101" s="130">
        <v>2</v>
      </c>
      <c r="D101" s="130">
        <v>1</v>
      </c>
      <c r="E101" s="131"/>
      <c r="F101" s="130"/>
      <c r="G101" s="130"/>
      <c r="H101" s="132"/>
      <c r="I101" s="44"/>
      <c r="J101" s="129">
        <f t="shared" si="5"/>
        <v>20</v>
      </c>
      <c r="K101" s="130">
        <v>2</v>
      </c>
      <c r="L101" s="130">
        <v>1</v>
      </c>
      <c r="M101" s="131"/>
      <c r="N101" s="130"/>
      <c r="O101" s="130"/>
      <c r="P101" s="132"/>
      <c r="Q101" s="44"/>
      <c r="R101" s="44"/>
      <c r="S101" s="129">
        <f t="shared" si="6"/>
        <v>20</v>
      </c>
      <c r="T101" s="130">
        <v>2</v>
      </c>
      <c r="U101" s="130">
        <v>1</v>
      </c>
      <c r="V101" s="131"/>
      <c r="W101" s="130"/>
      <c r="X101" s="130"/>
      <c r="Y101" s="132"/>
      <c r="AA101" s="129">
        <f t="shared" si="7"/>
        <v>20</v>
      </c>
      <c r="AB101" s="130">
        <v>2</v>
      </c>
      <c r="AC101" s="130">
        <v>1</v>
      </c>
      <c r="AD101" s="131"/>
      <c r="AE101" s="130"/>
      <c r="AF101" s="130"/>
      <c r="AG101" s="132"/>
    </row>
    <row r="102" spans="2:33" ht="18.75" customHeight="1" x14ac:dyDescent="0.5">
      <c r="B102" s="133">
        <f t="shared" si="4"/>
        <v>20</v>
      </c>
      <c r="C102" s="134">
        <v>2</v>
      </c>
      <c r="D102" s="134">
        <v>2</v>
      </c>
      <c r="E102" s="135"/>
      <c r="F102" s="134"/>
      <c r="G102" s="134"/>
      <c r="H102" s="136"/>
      <c r="I102" s="44"/>
      <c r="J102" s="133">
        <f t="shared" si="5"/>
        <v>20</v>
      </c>
      <c r="K102" s="134">
        <v>2</v>
      </c>
      <c r="L102" s="134">
        <v>2</v>
      </c>
      <c r="M102" s="135"/>
      <c r="N102" s="134"/>
      <c r="O102" s="134"/>
      <c r="P102" s="136"/>
      <c r="Q102" s="44"/>
      <c r="R102" s="44"/>
      <c r="S102" s="133">
        <f t="shared" si="6"/>
        <v>20</v>
      </c>
      <c r="T102" s="134">
        <v>2</v>
      </c>
      <c r="U102" s="134">
        <v>2</v>
      </c>
      <c r="V102" s="135"/>
      <c r="W102" s="134"/>
      <c r="X102" s="134"/>
      <c r="Y102" s="136"/>
      <c r="AA102" s="133">
        <f t="shared" si="7"/>
        <v>20</v>
      </c>
      <c r="AB102" s="134">
        <v>2</v>
      </c>
      <c r="AC102" s="134">
        <v>2</v>
      </c>
      <c r="AD102" s="135"/>
      <c r="AE102" s="134"/>
      <c r="AF102" s="134"/>
      <c r="AG102" s="136"/>
    </row>
    <row r="103" spans="2:33" ht="18.75" customHeight="1" x14ac:dyDescent="0.5">
      <c r="B103" s="137">
        <f t="shared" si="4"/>
        <v>21</v>
      </c>
      <c r="C103" s="130">
        <v>1</v>
      </c>
      <c r="D103" s="130">
        <v>1</v>
      </c>
      <c r="E103" s="131"/>
      <c r="F103" s="130"/>
      <c r="G103" s="130"/>
      <c r="H103" s="132"/>
      <c r="I103" s="44"/>
      <c r="J103" s="137">
        <f t="shared" si="5"/>
        <v>21</v>
      </c>
      <c r="K103" s="130">
        <v>1</v>
      </c>
      <c r="L103" s="130">
        <v>1</v>
      </c>
      <c r="M103" s="131"/>
      <c r="N103" s="130"/>
      <c r="O103" s="130"/>
      <c r="P103" s="132"/>
      <c r="Q103" s="44"/>
      <c r="R103" s="44"/>
      <c r="S103" s="137">
        <f t="shared" si="6"/>
        <v>21</v>
      </c>
      <c r="T103" s="130">
        <v>1</v>
      </c>
      <c r="U103" s="130">
        <v>1</v>
      </c>
      <c r="V103" s="131"/>
      <c r="W103" s="130"/>
      <c r="X103" s="130"/>
      <c r="Y103" s="132"/>
      <c r="AA103" s="137">
        <f t="shared" si="7"/>
        <v>21</v>
      </c>
      <c r="AB103" s="130">
        <v>1</v>
      </c>
      <c r="AC103" s="130">
        <v>1</v>
      </c>
      <c r="AD103" s="131"/>
      <c r="AE103" s="130"/>
      <c r="AF103" s="130"/>
      <c r="AG103" s="132"/>
    </row>
    <row r="104" spans="2:33" ht="18.75" customHeight="1" x14ac:dyDescent="0.5">
      <c r="B104" s="138">
        <f t="shared" si="4"/>
        <v>21</v>
      </c>
      <c r="C104" s="134">
        <v>1</v>
      </c>
      <c r="D104" s="134">
        <v>2</v>
      </c>
      <c r="E104" s="135"/>
      <c r="F104" s="134"/>
      <c r="G104" s="134"/>
      <c r="H104" s="136"/>
      <c r="I104" s="44"/>
      <c r="J104" s="138">
        <f t="shared" si="5"/>
        <v>21</v>
      </c>
      <c r="K104" s="134">
        <v>1</v>
      </c>
      <c r="L104" s="134">
        <v>2</v>
      </c>
      <c r="M104" s="135"/>
      <c r="N104" s="134"/>
      <c r="O104" s="134"/>
      <c r="P104" s="136"/>
      <c r="Q104" s="44"/>
      <c r="R104" s="44"/>
      <c r="S104" s="138">
        <f t="shared" si="6"/>
        <v>21</v>
      </c>
      <c r="T104" s="134">
        <v>1</v>
      </c>
      <c r="U104" s="134">
        <v>2</v>
      </c>
      <c r="V104" s="135"/>
      <c r="W104" s="134"/>
      <c r="X104" s="134"/>
      <c r="Y104" s="136"/>
      <c r="AA104" s="138">
        <f t="shared" si="7"/>
        <v>21</v>
      </c>
      <c r="AB104" s="134">
        <v>1</v>
      </c>
      <c r="AC104" s="134">
        <v>2</v>
      </c>
      <c r="AD104" s="135"/>
      <c r="AE104" s="134"/>
      <c r="AF104" s="134"/>
      <c r="AG104" s="136"/>
    </row>
    <row r="105" spans="2:33" ht="18.75" customHeight="1" x14ac:dyDescent="0.5">
      <c r="B105" s="137">
        <f t="shared" si="4"/>
        <v>21</v>
      </c>
      <c r="C105" s="130">
        <v>2</v>
      </c>
      <c r="D105" s="130">
        <v>1</v>
      </c>
      <c r="E105" s="131"/>
      <c r="F105" s="130"/>
      <c r="G105" s="130"/>
      <c r="H105" s="132"/>
      <c r="I105" s="44"/>
      <c r="J105" s="137">
        <f t="shared" si="5"/>
        <v>21</v>
      </c>
      <c r="K105" s="130">
        <v>2</v>
      </c>
      <c r="L105" s="130">
        <v>1</v>
      </c>
      <c r="M105" s="131"/>
      <c r="N105" s="130"/>
      <c r="O105" s="130"/>
      <c r="P105" s="132"/>
      <c r="Q105" s="44"/>
      <c r="R105" s="44"/>
      <c r="S105" s="137">
        <f t="shared" si="6"/>
        <v>21</v>
      </c>
      <c r="T105" s="130">
        <v>2</v>
      </c>
      <c r="U105" s="130">
        <v>1</v>
      </c>
      <c r="V105" s="131"/>
      <c r="W105" s="130"/>
      <c r="X105" s="130"/>
      <c r="Y105" s="132"/>
      <c r="AA105" s="137">
        <f t="shared" si="7"/>
        <v>21</v>
      </c>
      <c r="AB105" s="130">
        <v>2</v>
      </c>
      <c r="AC105" s="130">
        <v>1</v>
      </c>
      <c r="AD105" s="131"/>
      <c r="AE105" s="130"/>
      <c r="AF105" s="130"/>
      <c r="AG105" s="132"/>
    </row>
    <row r="106" spans="2:33" ht="18.75" customHeight="1" x14ac:dyDescent="0.5">
      <c r="B106" s="138">
        <f t="shared" si="4"/>
        <v>21</v>
      </c>
      <c r="C106" s="134">
        <v>2</v>
      </c>
      <c r="D106" s="134">
        <v>2</v>
      </c>
      <c r="E106" s="135"/>
      <c r="F106" s="134"/>
      <c r="G106" s="134"/>
      <c r="H106" s="136"/>
      <c r="I106" s="44"/>
      <c r="J106" s="138">
        <f t="shared" si="5"/>
        <v>21</v>
      </c>
      <c r="K106" s="134">
        <v>2</v>
      </c>
      <c r="L106" s="134">
        <v>2</v>
      </c>
      <c r="M106" s="135"/>
      <c r="N106" s="134"/>
      <c r="O106" s="134"/>
      <c r="P106" s="136"/>
      <c r="Q106" s="44"/>
      <c r="R106" s="44"/>
      <c r="S106" s="138">
        <f t="shared" si="6"/>
        <v>21</v>
      </c>
      <c r="T106" s="134">
        <v>2</v>
      </c>
      <c r="U106" s="134">
        <v>2</v>
      </c>
      <c r="V106" s="135"/>
      <c r="W106" s="134"/>
      <c r="X106" s="134"/>
      <c r="Y106" s="136"/>
      <c r="AA106" s="138">
        <f t="shared" si="7"/>
        <v>21</v>
      </c>
      <c r="AB106" s="134">
        <v>2</v>
      </c>
      <c r="AC106" s="134">
        <v>2</v>
      </c>
      <c r="AD106" s="135"/>
      <c r="AE106" s="134"/>
      <c r="AF106" s="134"/>
      <c r="AG106" s="136"/>
    </row>
    <row r="107" spans="2:33" ht="18.75" customHeight="1" x14ac:dyDescent="0.5">
      <c r="B107" s="129">
        <f t="shared" si="4"/>
        <v>22</v>
      </c>
      <c r="C107" s="130">
        <v>1</v>
      </c>
      <c r="D107" s="130">
        <v>1</v>
      </c>
      <c r="E107" s="131"/>
      <c r="F107" s="130"/>
      <c r="G107" s="130"/>
      <c r="H107" s="132"/>
      <c r="I107" s="44"/>
      <c r="J107" s="129">
        <f t="shared" si="5"/>
        <v>22</v>
      </c>
      <c r="K107" s="130">
        <v>1</v>
      </c>
      <c r="L107" s="130">
        <v>1</v>
      </c>
      <c r="M107" s="131"/>
      <c r="N107" s="130"/>
      <c r="O107" s="130"/>
      <c r="P107" s="132"/>
      <c r="Q107" s="44"/>
      <c r="R107" s="44"/>
      <c r="S107" s="129">
        <f t="shared" si="6"/>
        <v>22</v>
      </c>
      <c r="T107" s="130">
        <v>1</v>
      </c>
      <c r="U107" s="130">
        <v>1</v>
      </c>
      <c r="V107" s="131"/>
      <c r="W107" s="130"/>
      <c r="X107" s="130"/>
      <c r="Y107" s="132"/>
      <c r="AA107" s="129">
        <f t="shared" si="7"/>
        <v>22</v>
      </c>
      <c r="AB107" s="130">
        <v>1</v>
      </c>
      <c r="AC107" s="130">
        <v>1</v>
      </c>
      <c r="AD107" s="131"/>
      <c r="AE107" s="130"/>
      <c r="AF107" s="130"/>
      <c r="AG107" s="132"/>
    </row>
    <row r="108" spans="2:33" ht="18.75" customHeight="1" x14ac:dyDescent="0.5">
      <c r="B108" s="133">
        <f t="shared" si="4"/>
        <v>22</v>
      </c>
      <c r="C108" s="134">
        <v>1</v>
      </c>
      <c r="D108" s="134">
        <v>2</v>
      </c>
      <c r="E108" s="135"/>
      <c r="F108" s="134"/>
      <c r="G108" s="134"/>
      <c r="H108" s="136"/>
      <c r="I108" s="44"/>
      <c r="J108" s="133">
        <f t="shared" si="5"/>
        <v>22</v>
      </c>
      <c r="K108" s="134">
        <v>1</v>
      </c>
      <c r="L108" s="134">
        <v>2</v>
      </c>
      <c r="M108" s="135"/>
      <c r="N108" s="134"/>
      <c r="O108" s="134"/>
      <c r="P108" s="136"/>
      <c r="Q108" s="44"/>
      <c r="R108" s="44"/>
      <c r="S108" s="133">
        <f t="shared" si="6"/>
        <v>22</v>
      </c>
      <c r="T108" s="134">
        <v>1</v>
      </c>
      <c r="U108" s="134">
        <v>2</v>
      </c>
      <c r="V108" s="135"/>
      <c r="W108" s="134"/>
      <c r="X108" s="134"/>
      <c r="Y108" s="136"/>
      <c r="AA108" s="133">
        <f t="shared" si="7"/>
        <v>22</v>
      </c>
      <c r="AB108" s="134">
        <v>1</v>
      </c>
      <c r="AC108" s="134">
        <v>2</v>
      </c>
      <c r="AD108" s="135"/>
      <c r="AE108" s="134"/>
      <c r="AF108" s="134"/>
      <c r="AG108" s="136"/>
    </row>
    <row r="109" spans="2:33" ht="18.75" customHeight="1" x14ac:dyDescent="0.5">
      <c r="B109" s="129">
        <f t="shared" si="4"/>
        <v>22</v>
      </c>
      <c r="C109" s="130">
        <v>2</v>
      </c>
      <c r="D109" s="130">
        <v>1</v>
      </c>
      <c r="E109" s="131"/>
      <c r="F109" s="130"/>
      <c r="G109" s="130"/>
      <c r="H109" s="132"/>
      <c r="I109" s="44"/>
      <c r="J109" s="129">
        <f t="shared" si="5"/>
        <v>22</v>
      </c>
      <c r="K109" s="130">
        <v>2</v>
      </c>
      <c r="L109" s="130">
        <v>1</v>
      </c>
      <c r="M109" s="131"/>
      <c r="N109" s="130"/>
      <c r="O109" s="130"/>
      <c r="P109" s="132"/>
      <c r="Q109" s="44"/>
      <c r="R109" s="44"/>
      <c r="S109" s="129">
        <f t="shared" si="6"/>
        <v>22</v>
      </c>
      <c r="T109" s="130">
        <v>2</v>
      </c>
      <c r="U109" s="130">
        <v>1</v>
      </c>
      <c r="V109" s="131"/>
      <c r="W109" s="130"/>
      <c r="X109" s="130"/>
      <c r="Y109" s="132"/>
      <c r="AA109" s="129">
        <f t="shared" si="7"/>
        <v>22</v>
      </c>
      <c r="AB109" s="130">
        <v>2</v>
      </c>
      <c r="AC109" s="130">
        <v>1</v>
      </c>
      <c r="AD109" s="131"/>
      <c r="AE109" s="130"/>
      <c r="AF109" s="130"/>
      <c r="AG109" s="132"/>
    </row>
    <row r="110" spans="2:33" ht="18.75" customHeight="1" x14ac:dyDescent="0.5">
      <c r="B110" s="133">
        <f t="shared" si="4"/>
        <v>22</v>
      </c>
      <c r="C110" s="134">
        <v>2</v>
      </c>
      <c r="D110" s="134">
        <v>2</v>
      </c>
      <c r="E110" s="135"/>
      <c r="F110" s="134"/>
      <c r="G110" s="134"/>
      <c r="H110" s="136"/>
      <c r="I110" s="44"/>
      <c r="J110" s="133">
        <f t="shared" si="5"/>
        <v>22</v>
      </c>
      <c r="K110" s="134">
        <v>2</v>
      </c>
      <c r="L110" s="134">
        <v>2</v>
      </c>
      <c r="M110" s="135"/>
      <c r="N110" s="134"/>
      <c r="O110" s="134"/>
      <c r="P110" s="136"/>
      <c r="Q110" s="44"/>
      <c r="R110" s="44"/>
      <c r="S110" s="133">
        <f t="shared" si="6"/>
        <v>22</v>
      </c>
      <c r="T110" s="134">
        <v>2</v>
      </c>
      <c r="U110" s="134">
        <v>2</v>
      </c>
      <c r="V110" s="135"/>
      <c r="W110" s="134"/>
      <c r="X110" s="134"/>
      <c r="Y110" s="136"/>
      <c r="AA110" s="133">
        <f t="shared" si="7"/>
        <v>22</v>
      </c>
      <c r="AB110" s="134">
        <v>2</v>
      </c>
      <c r="AC110" s="134">
        <v>2</v>
      </c>
      <c r="AD110" s="135"/>
      <c r="AE110" s="134"/>
      <c r="AF110" s="134"/>
      <c r="AG110" s="136"/>
    </row>
    <row r="111" spans="2:33" ht="18.75" customHeight="1" x14ac:dyDescent="0.5">
      <c r="B111" s="137">
        <f t="shared" si="4"/>
        <v>23</v>
      </c>
      <c r="C111" s="130">
        <v>1</v>
      </c>
      <c r="D111" s="130">
        <v>1</v>
      </c>
      <c r="E111" s="131"/>
      <c r="F111" s="130"/>
      <c r="G111" s="130"/>
      <c r="H111" s="132"/>
      <c r="I111" s="44"/>
      <c r="J111" s="137">
        <f t="shared" si="5"/>
        <v>23</v>
      </c>
      <c r="K111" s="130">
        <v>1</v>
      </c>
      <c r="L111" s="130">
        <v>1</v>
      </c>
      <c r="M111" s="131"/>
      <c r="N111" s="130"/>
      <c r="O111" s="130"/>
      <c r="P111" s="132"/>
      <c r="Q111" s="44"/>
      <c r="R111" s="44"/>
      <c r="S111" s="137">
        <f t="shared" si="6"/>
        <v>23</v>
      </c>
      <c r="T111" s="130">
        <v>1</v>
      </c>
      <c r="U111" s="130">
        <v>1</v>
      </c>
      <c r="V111" s="131"/>
      <c r="W111" s="130"/>
      <c r="X111" s="130"/>
      <c r="Y111" s="132"/>
      <c r="AA111" s="137">
        <f t="shared" si="7"/>
        <v>23</v>
      </c>
      <c r="AB111" s="130">
        <v>1</v>
      </c>
      <c r="AC111" s="130">
        <v>1</v>
      </c>
      <c r="AD111" s="131"/>
      <c r="AE111" s="130"/>
      <c r="AF111" s="130"/>
      <c r="AG111" s="132"/>
    </row>
    <row r="112" spans="2:33" ht="18.75" customHeight="1" x14ac:dyDescent="0.5">
      <c r="B112" s="138">
        <f t="shared" si="4"/>
        <v>23</v>
      </c>
      <c r="C112" s="134">
        <v>1</v>
      </c>
      <c r="D112" s="134">
        <v>2</v>
      </c>
      <c r="E112" s="135"/>
      <c r="F112" s="134"/>
      <c r="G112" s="134"/>
      <c r="H112" s="136"/>
      <c r="I112" s="44"/>
      <c r="J112" s="138">
        <f t="shared" si="5"/>
        <v>23</v>
      </c>
      <c r="K112" s="134">
        <v>1</v>
      </c>
      <c r="L112" s="134">
        <v>2</v>
      </c>
      <c r="M112" s="135"/>
      <c r="N112" s="134"/>
      <c r="O112" s="134"/>
      <c r="P112" s="136"/>
      <c r="Q112" s="44"/>
      <c r="R112" s="44"/>
      <c r="S112" s="138">
        <f t="shared" si="6"/>
        <v>23</v>
      </c>
      <c r="T112" s="134">
        <v>1</v>
      </c>
      <c r="U112" s="134">
        <v>2</v>
      </c>
      <c r="V112" s="135"/>
      <c r="W112" s="134"/>
      <c r="X112" s="134"/>
      <c r="Y112" s="136"/>
      <c r="AA112" s="138">
        <f t="shared" si="7"/>
        <v>23</v>
      </c>
      <c r="AB112" s="134">
        <v>1</v>
      </c>
      <c r="AC112" s="134">
        <v>2</v>
      </c>
      <c r="AD112" s="135"/>
      <c r="AE112" s="134"/>
      <c r="AF112" s="134"/>
      <c r="AG112" s="136"/>
    </row>
    <row r="113" spans="2:33" ht="18.75" customHeight="1" x14ac:dyDescent="0.5">
      <c r="B113" s="137">
        <f t="shared" si="4"/>
        <v>23</v>
      </c>
      <c r="C113" s="130">
        <v>2</v>
      </c>
      <c r="D113" s="130">
        <v>1</v>
      </c>
      <c r="E113" s="131"/>
      <c r="F113" s="130"/>
      <c r="G113" s="130"/>
      <c r="H113" s="132"/>
      <c r="I113" s="44"/>
      <c r="J113" s="137">
        <f t="shared" si="5"/>
        <v>23</v>
      </c>
      <c r="K113" s="130">
        <v>2</v>
      </c>
      <c r="L113" s="130">
        <v>1</v>
      </c>
      <c r="M113" s="131"/>
      <c r="N113" s="130"/>
      <c r="O113" s="130"/>
      <c r="P113" s="132"/>
      <c r="Q113" s="44"/>
      <c r="R113" s="44"/>
      <c r="S113" s="137">
        <f t="shared" si="6"/>
        <v>23</v>
      </c>
      <c r="T113" s="130">
        <v>2</v>
      </c>
      <c r="U113" s="130">
        <v>1</v>
      </c>
      <c r="V113" s="131"/>
      <c r="W113" s="130"/>
      <c r="X113" s="130"/>
      <c r="Y113" s="132"/>
      <c r="AA113" s="137">
        <f t="shared" si="7"/>
        <v>23</v>
      </c>
      <c r="AB113" s="130">
        <v>2</v>
      </c>
      <c r="AC113" s="130">
        <v>1</v>
      </c>
      <c r="AD113" s="131"/>
      <c r="AE113" s="130"/>
      <c r="AF113" s="130"/>
      <c r="AG113" s="132"/>
    </row>
    <row r="114" spans="2:33" ht="18.75" customHeight="1" x14ac:dyDescent="0.5">
      <c r="B114" s="138">
        <f t="shared" si="4"/>
        <v>23</v>
      </c>
      <c r="C114" s="134">
        <v>2</v>
      </c>
      <c r="D114" s="134">
        <v>2</v>
      </c>
      <c r="E114" s="135"/>
      <c r="F114" s="134"/>
      <c r="G114" s="134"/>
      <c r="H114" s="136"/>
      <c r="I114" s="44"/>
      <c r="J114" s="138">
        <f t="shared" si="5"/>
        <v>23</v>
      </c>
      <c r="K114" s="134">
        <v>2</v>
      </c>
      <c r="L114" s="134">
        <v>2</v>
      </c>
      <c r="M114" s="135"/>
      <c r="N114" s="134"/>
      <c r="O114" s="134"/>
      <c r="P114" s="136"/>
      <c r="Q114" s="44"/>
      <c r="R114" s="44"/>
      <c r="S114" s="138">
        <f t="shared" si="6"/>
        <v>23</v>
      </c>
      <c r="T114" s="134">
        <v>2</v>
      </c>
      <c r="U114" s="134">
        <v>2</v>
      </c>
      <c r="V114" s="135"/>
      <c r="W114" s="134"/>
      <c r="X114" s="134"/>
      <c r="Y114" s="136"/>
      <c r="AA114" s="138">
        <f t="shared" si="7"/>
        <v>23</v>
      </c>
      <c r="AB114" s="134">
        <v>2</v>
      </c>
      <c r="AC114" s="134">
        <v>2</v>
      </c>
      <c r="AD114" s="135"/>
      <c r="AE114" s="134"/>
      <c r="AF114" s="134"/>
      <c r="AG114" s="136"/>
    </row>
    <row r="115" spans="2:33" ht="18.75" customHeight="1" x14ac:dyDescent="0.5">
      <c r="B115" s="129">
        <f t="shared" si="4"/>
        <v>24</v>
      </c>
      <c r="C115" s="130">
        <v>1</v>
      </c>
      <c r="D115" s="130">
        <v>1</v>
      </c>
      <c r="E115" s="131"/>
      <c r="F115" s="130"/>
      <c r="G115" s="130"/>
      <c r="H115" s="132"/>
      <c r="I115" s="44"/>
      <c r="J115" s="129">
        <f t="shared" si="5"/>
        <v>24</v>
      </c>
      <c r="K115" s="130">
        <v>1</v>
      </c>
      <c r="L115" s="130">
        <v>1</v>
      </c>
      <c r="M115" s="131"/>
      <c r="N115" s="130"/>
      <c r="O115" s="130"/>
      <c r="P115" s="132"/>
      <c r="Q115" s="44"/>
      <c r="R115" s="44"/>
      <c r="S115" s="129">
        <f t="shared" si="6"/>
        <v>24</v>
      </c>
      <c r="T115" s="130">
        <v>1</v>
      </c>
      <c r="U115" s="130">
        <v>1</v>
      </c>
      <c r="V115" s="131"/>
      <c r="W115" s="130"/>
      <c r="X115" s="130"/>
      <c r="Y115" s="132"/>
      <c r="AA115" s="129">
        <f t="shared" si="7"/>
        <v>24</v>
      </c>
      <c r="AB115" s="130">
        <v>1</v>
      </c>
      <c r="AC115" s="130">
        <v>1</v>
      </c>
      <c r="AD115" s="131"/>
      <c r="AE115" s="130"/>
      <c r="AF115" s="130"/>
      <c r="AG115" s="132"/>
    </row>
    <row r="116" spans="2:33" ht="18.75" customHeight="1" x14ac:dyDescent="0.5">
      <c r="B116" s="133">
        <f t="shared" si="4"/>
        <v>24</v>
      </c>
      <c r="C116" s="134">
        <v>1</v>
      </c>
      <c r="D116" s="134">
        <v>2</v>
      </c>
      <c r="E116" s="135"/>
      <c r="F116" s="134"/>
      <c r="G116" s="134"/>
      <c r="H116" s="136"/>
      <c r="I116" s="44"/>
      <c r="J116" s="133">
        <f t="shared" si="5"/>
        <v>24</v>
      </c>
      <c r="K116" s="134">
        <v>1</v>
      </c>
      <c r="L116" s="134">
        <v>2</v>
      </c>
      <c r="M116" s="135"/>
      <c r="N116" s="134"/>
      <c r="O116" s="134"/>
      <c r="P116" s="136"/>
      <c r="Q116" s="44"/>
      <c r="R116" s="44"/>
      <c r="S116" s="133">
        <f t="shared" si="6"/>
        <v>24</v>
      </c>
      <c r="T116" s="134">
        <v>1</v>
      </c>
      <c r="U116" s="134">
        <v>2</v>
      </c>
      <c r="V116" s="135"/>
      <c r="W116" s="134"/>
      <c r="X116" s="134"/>
      <c r="Y116" s="136"/>
      <c r="AA116" s="133">
        <f t="shared" si="7"/>
        <v>24</v>
      </c>
      <c r="AB116" s="134">
        <v>1</v>
      </c>
      <c r="AC116" s="134">
        <v>2</v>
      </c>
      <c r="AD116" s="135"/>
      <c r="AE116" s="134"/>
      <c r="AF116" s="134"/>
      <c r="AG116" s="136"/>
    </row>
    <row r="117" spans="2:33" ht="18.75" customHeight="1" x14ac:dyDescent="0.5">
      <c r="B117" s="129">
        <f t="shared" si="4"/>
        <v>24</v>
      </c>
      <c r="C117" s="130">
        <v>2</v>
      </c>
      <c r="D117" s="130">
        <v>1</v>
      </c>
      <c r="E117" s="131"/>
      <c r="F117" s="130"/>
      <c r="G117" s="130"/>
      <c r="H117" s="132"/>
      <c r="I117" s="44"/>
      <c r="J117" s="129">
        <f t="shared" si="5"/>
        <v>24</v>
      </c>
      <c r="K117" s="130">
        <v>2</v>
      </c>
      <c r="L117" s="130">
        <v>1</v>
      </c>
      <c r="M117" s="131"/>
      <c r="N117" s="130"/>
      <c r="O117" s="130"/>
      <c r="P117" s="132"/>
      <c r="Q117" s="44"/>
      <c r="R117" s="44"/>
      <c r="S117" s="129">
        <f t="shared" si="6"/>
        <v>24</v>
      </c>
      <c r="T117" s="130">
        <v>2</v>
      </c>
      <c r="U117" s="130">
        <v>1</v>
      </c>
      <c r="V117" s="131"/>
      <c r="W117" s="130"/>
      <c r="X117" s="130"/>
      <c r="Y117" s="132"/>
      <c r="AA117" s="129">
        <f t="shared" si="7"/>
        <v>24</v>
      </c>
      <c r="AB117" s="130">
        <v>2</v>
      </c>
      <c r="AC117" s="130">
        <v>1</v>
      </c>
      <c r="AD117" s="131"/>
      <c r="AE117" s="130"/>
      <c r="AF117" s="130"/>
      <c r="AG117" s="132"/>
    </row>
    <row r="118" spans="2:33" ht="18.75" customHeight="1" x14ac:dyDescent="0.5">
      <c r="B118" s="133">
        <f t="shared" si="4"/>
        <v>24</v>
      </c>
      <c r="C118" s="134">
        <v>2</v>
      </c>
      <c r="D118" s="134">
        <v>2</v>
      </c>
      <c r="E118" s="135"/>
      <c r="F118" s="134"/>
      <c r="G118" s="134"/>
      <c r="H118" s="136"/>
      <c r="I118" s="44"/>
      <c r="J118" s="133">
        <f t="shared" si="5"/>
        <v>24</v>
      </c>
      <c r="K118" s="134">
        <v>2</v>
      </c>
      <c r="L118" s="134">
        <v>2</v>
      </c>
      <c r="M118" s="135"/>
      <c r="N118" s="134"/>
      <c r="O118" s="134"/>
      <c r="P118" s="136"/>
      <c r="Q118" s="44"/>
      <c r="R118" s="44"/>
      <c r="S118" s="133">
        <f t="shared" si="6"/>
        <v>24</v>
      </c>
      <c r="T118" s="134">
        <v>2</v>
      </c>
      <c r="U118" s="134">
        <v>2</v>
      </c>
      <c r="V118" s="135"/>
      <c r="W118" s="134"/>
      <c r="X118" s="134"/>
      <c r="Y118" s="136"/>
      <c r="AA118" s="133">
        <f t="shared" si="7"/>
        <v>24</v>
      </c>
      <c r="AB118" s="134">
        <v>2</v>
      </c>
      <c r="AC118" s="134">
        <v>2</v>
      </c>
      <c r="AD118" s="135"/>
      <c r="AE118" s="134"/>
      <c r="AF118" s="134"/>
      <c r="AG118" s="136"/>
    </row>
    <row r="119" spans="2:33" ht="18.75" customHeight="1" x14ac:dyDescent="0.5">
      <c r="B119" s="137">
        <f t="shared" si="4"/>
        <v>25</v>
      </c>
      <c r="C119" s="130">
        <v>1</v>
      </c>
      <c r="D119" s="130">
        <v>1</v>
      </c>
      <c r="E119" s="131"/>
      <c r="F119" s="130"/>
      <c r="G119" s="130"/>
      <c r="H119" s="132"/>
      <c r="I119" s="44"/>
      <c r="J119" s="137">
        <f t="shared" si="5"/>
        <v>25</v>
      </c>
      <c r="K119" s="130">
        <v>1</v>
      </c>
      <c r="L119" s="130">
        <v>1</v>
      </c>
      <c r="M119" s="131"/>
      <c r="N119" s="130"/>
      <c r="O119" s="130"/>
      <c r="P119" s="132"/>
      <c r="Q119" s="44"/>
      <c r="R119" s="44"/>
      <c r="S119" s="137">
        <f t="shared" si="6"/>
        <v>25</v>
      </c>
      <c r="T119" s="130">
        <v>1</v>
      </c>
      <c r="U119" s="130">
        <v>1</v>
      </c>
      <c r="V119" s="131"/>
      <c r="W119" s="130"/>
      <c r="X119" s="130"/>
      <c r="Y119" s="132"/>
      <c r="AA119" s="137">
        <f t="shared" si="7"/>
        <v>25</v>
      </c>
      <c r="AB119" s="130">
        <v>1</v>
      </c>
      <c r="AC119" s="130">
        <v>1</v>
      </c>
      <c r="AD119" s="131"/>
      <c r="AE119" s="130"/>
      <c r="AF119" s="130"/>
      <c r="AG119" s="132"/>
    </row>
    <row r="120" spans="2:33" ht="18.75" customHeight="1" x14ac:dyDescent="0.5">
      <c r="B120" s="138">
        <f t="shared" si="4"/>
        <v>25</v>
      </c>
      <c r="C120" s="134">
        <v>1</v>
      </c>
      <c r="D120" s="134">
        <v>2</v>
      </c>
      <c r="E120" s="135"/>
      <c r="F120" s="134"/>
      <c r="G120" s="134"/>
      <c r="H120" s="136"/>
      <c r="I120" s="44"/>
      <c r="J120" s="138">
        <f t="shared" si="5"/>
        <v>25</v>
      </c>
      <c r="K120" s="134">
        <v>1</v>
      </c>
      <c r="L120" s="134">
        <v>2</v>
      </c>
      <c r="M120" s="135"/>
      <c r="N120" s="134"/>
      <c r="O120" s="134"/>
      <c r="P120" s="136"/>
      <c r="Q120" s="44"/>
      <c r="R120" s="44"/>
      <c r="S120" s="138">
        <f t="shared" si="6"/>
        <v>25</v>
      </c>
      <c r="T120" s="134">
        <v>1</v>
      </c>
      <c r="U120" s="134">
        <v>2</v>
      </c>
      <c r="V120" s="135"/>
      <c r="W120" s="134"/>
      <c r="X120" s="134"/>
      <c r="Y120" s="136"/>
      <c r="AA120" s="138">
        <f t="shared" si="7"/>
        <v>25</v>
      </c>
      <c r="AB120" s="134">
        <v>1</v>
      </c>
      <c r="AC120" s="134">
        <v>2</v>
      </c>
      <c r="AD120" s="135"/>
      <c r="AE120" s="134"/>
      <c r="AF120" s="134"/>
      <c r="AG120" s="136"/>
    </row>
    <row r="121" spans="2:33" ht="18.75" customHeight="1" x14ac:dyDescent="0.5">
      <c r="B121" s="137">
        <f t="shared" si="4"/>
        <v>25</v>
      </c>
      <c r="C121" s="130">
        <v>2</v>
      </c>
      <c r="D121" s="130">
        <v>1</v>
      </c>
      <c r="E121" s="131"/>
      <c r="F121" s="130"/>
      <c r="G121" s="130"/>
      <c r="H121" s="132"/>
      <c r="I121" s="44"/>
      <c r="J121" s="137">
        <f t="shared" si="5"/>
        <v>25</v>
      </c>
      <c r="K121" s="130">
        <v>2</v>
      </c>
      <c r="L121" s="130">
        <v>1</v>
      </c>
      <c r="M121" s="131"/>
      <c r="N121" s="130"/>
      <c r="O121" s="130"/>
      <c r="P121" s="132"/>
      <c r="Q121" s="44"/>
      <c r="R121" s="44"/>
      <c r="S121" s="137">
        <f t="shared" si="6"/>
        <v>25</v>
      </c>
      <c r="T121" s="130">
        <v>2</v>
      </c>
      <c r="U121" s="130">
        <v>1</v>
      </c>
      <c r="V121" s="131"/>
      <c r="W121" s="130"/>
      <c r="X121" s="130"/>
      <c r="Y121" s="132"/>
      <c r="AA121" s="137">
        <f t="shared" si="7"/>
        <v>25</v>
      </c>
      <c r="AB121" s="130">
        <v>2</v>
      </c>
      <c r="AC121" s="130">
        <v>1</v>
      </c>
      <c r="AD121" s="131"/>
      <c r="AE121" s="130"/>
      <c r="AF121" s="130"/>
      <c r="AG121" s="132"/>
    </row>
    <row r="122" spans="2:33" ht="18.75" customHeight="1" x14ac:dyDescent="0.5">
      <c r="B122" s="138">
        <f t="shared" si="4"/>
        <v>25</v>
      </c>
      <c r="C122" s="134">
        <v>2</v>
      </c>
      <c r="D122" s="134">
        <v>2</v>
      </c>
      <c r="E122" s="135"/>
      <c r="F122" s="134"/>
      <c r="G122" s="134"/>
      <c r="H122" s="136"/>
      <c r="I122" s="44"/>
      <c r="J122" s="138">
        <f t="shared" si="5"/>
        <v>25</v>
      </c>
      <c r="K122" s="134">
        <v>2</v>
      </c>
      <c r="L122" s="134">
        <v>2</v>
      </c>
      <c r="M122" s="135"/>
      <c r="N122" s="134"/>
      <c r="O122" s="134"/>
      <c r="P122" s="136"/>
      <c r="Q122" s="44"/>
      <c r="R122" s="44"/>
      <c r="S122" s="138">
        <f t="shared" si="6"/>
        <v>25</v>
      </c>
      <c r="T122" s="134">
        <v>2</v>
      </c>
      <c r="U122" s="134">
        <v>2</v>
      </c>
      <c r="V122" s="135"/>
      <c r="W122" s="134"/>
      <c r="X122" s="134"/>
      <c r="Y122" s="136"/>
      <c r="AA122" s="138">
        <f t="shared" si="7"/>
        <v>25</v>
      </c>
      <c r="AB122" s="134">
        <v>2</v>
      </c>
      <c r="AC122" s="134">
        <v>2</v>
      </c>
      <c r="AD122" s="135"/>
      <c r="AE122" s="134"/>
      <c r="AF122" s="134"/>
      <c r="AG122" s="136"/>
    </row>
    <row r="123" spans="2:33" ht="18.75" customHeight="1" x14ac:dyDescent="0.5">
      <c r="B123" s="129">
        <f t="shared" si="4"/>
        <v>26</v>
      </c>
      <c r="C123" s="130">
        <v>1</v>
      </c>
      <c r="D123" s="130">
        <v>1</v>
      </c>
      <c r="E123" s="131"/>
      <c r="F123" s="130"/>
      <c r="G123" s="130"/>
      <c r="H123" s="132"/>
      <c r="I123" s="44"/>
      <c r="J123" s="129">
        <f t="shared" si="5"/>
        <v>26</v>
      </c>
      <c r="K123" s="130">
        <v>1</v>
      </c>
      <c r="L123" s="130">
        <v>1</v>
      </c>
      <c r="M123" s="131"/>
      <c r="N123" s="130"/>
      <c r="O123" s="130"/>
      <c r="P123" s="132"/>
      <c r="Q123" s="44"/>
      <c r="R123" s="44"/>
      <c r="S123" s="129">
        <f t="shared" si="6"/>
        <v>26</v>
      </c>
      <c r="T123" s="130">
        <v>1</v>
      </c>
      <c r="U123" s="130">
        <v>1</v>
      </c>
      <c r="V123" s="131"/>
      <c r="W123" s="130"/>
      <c r="X123" s="130"/>
      <c r="Y123" s="132"/>
      <c r="AA123" s="129">
        <f t="shared" si="7"/>
        <v>26</v>
      </c>
      <c r="AB123" s="130">
        <v>1</v>
      </c>
      <c r="AC123" s="130">
        <v>1</v>
      </c>
      <c r="AD123" s="131"/>
      <c r="AE123" s="130"/>
      <c r="AF123" s="130"/>
      <c r="AG123" s="132"/>
    </row>
    <row r="124" spans="2:33" ht="18.75" customHeight="1" x14ac:dyDescent="0.5">
      <c r="B124" s="133">
        <f t="shared" si="4"/>
        <v>26</v>
      </c>
      <c r="C124" s="134">
        <v>1</v>
      </c>
      <c r="D124" s="134">
        <v>2</v>
      </c>
      <c r="E124" s="135"/>
      <c r="F124" s="134"/>
      <c r="G124" s="134"/>
      <c r="H124" s="136"/>
      <c r="I124" s="44"/>
      <c r="J124" s="133">
        <f t="shared" si="5"/>
        <v>26</v>
      </c>
      <c r="K124" s="134">
        <v>1</v>
      </c>
      <c r="L124" s="134">
        <v>2</v>
      </c>
      <c r="M124" s="135"/>
      <c r="N124" s="134"/>
      <c r="O124" s="134"/>
      <c r="P124" s="136"/>
      <c r="Q124" s="44"/>
      <c r="R124" s="44"/>
      <c r="S124" s="133">
        <f t="shared" si="6"/>
        <v>26</v>
      </c>
      <c r="T124" s="134">
        <v>1</v>
      </c>
      <c r="U124" s="134">
        <v>2</v>
      </c>
      <c r="V124" s="135"/>
      <c r="W124" s="134"/>
      <c r="X124" s="134"/>
      <c r="Y124" s="136"/>
      <c r="AA124" s="133">
        <f t="shared" si="7"/>
        <v>26</v>
      </c>
      <c r="AB124" s="134">
        <v>1</v>
      </c>
      <c r="AC124" s="134">
        <v>2</v>
      </c>
      <c r="AD124" s="135"/>
      <c r="AE124" s="134"/>
      <c r="AF124" s="134"/>
      <c r="AG124" s="136"/>
    </row>
    <row r="125" spans="2:33" ht="18.75" customHeight="1" x14ac:dyDescent="0.5">
      <c r="B125" s="129">
        <f t="shared" si="4"/>
        <v>26</v>
      </c>
      <c r="C125" s="130">
        <v>2</v>
      </c>
      <c r="D125" s="130">
        <v>1</v>
      </c>
      <c r="E125" s="131"/>
      <c r="F125" s="130"/>
      <c r="G125" s="130"/>
      <c r="H125" s="132"/>
      <c r="I125" s="44"/>
      <c r="J125" s="129">
        <f t="shared" si="5"/>
        <v>26</v>
      </c>
      <c r="K125" s="130">
        <v>2</v>
      </c>
      <c r="L125" s="130">
        <v>1</v>
      </c>
      <c r="M125" s="131"/>
      <c r="N125" s="130"/>
      <c r="O125" s="130"/>
      <c r="P125" s="132"/>
      <c r="Q125" s="44"/>
      <c r="R125" s="44"/>
      <c r="S125" s="129">
        <f t="shared" si="6"/>
        <v>26</v>
      </c>
      <c r="T125" s="130">
        <v>2</v>
      </c>
      <c r="U125" s="130">
        <v>1</v>
      </c>
      <c r="V125" s="131"/>
      <c r="W125" s="130"/>
      <c r="X125" s="130"/>
      <c r="Y125" s="132"/>
      <c r="AA125" s="129">
        <f t="shared" si="7"/>
        <v>26</v>
      </c>
      <c r="AB125" s="130">
        <v>2</v>
      </c>
      <c r="AC125" s="130">
        <v>1</v>
      </c>
      <c r="AD125" s="131"/>
      <c r="AE125" s="130"/>
      <c r="AF125" s="130"/>
      <c r="AG125" s="132"/>
    </row>
    <row r="126" spans="2:33" ht="18.75" customHeight="1" x14ac:dyDescent="0.5">
      <c r="B126" s="133">
        <f t="shared" si="4"/>
        <v>26</v>
      </c>
      <c r="C126" s="134">
        <v>2</v>
      </c>
      <c r="D126" s="134">
        <v>2</v>
      </c>
      <c r="E126" s="135"/>
      <c r="F126" s="134"/>
      <c r="G126" s="134"/>
      <c r="H126" s="136"/>
      <c r="I126" s="44"/>
      <c r="J126" s="133">
        <f t="shared" si="5"/>
        <v>26</v>
      </c>
      <c r="K126" s="134">
        <v>2</v>
      </c>
      <c r="L126" s="134">
        <v>2</v>
      </c>
      <c r="M126" s="135"/>
      <c r="N126" s="134"/>
      <c r="O126" s="134"/>
      <c r="P126" s="136"/>
      <c r="Q126" s="44"/>
      <c r="R126" s="44"/>
      <c r="S126" s="133">
        <f t="shared" si="6"/>
        <v>26</v>
      </c>
      <c r="T126" s="134">
        <v>2</v>
      </c>
      <c r="U126" s="134">
        <v>2</v>
      </c>
      <c r="V126" s="135"/>
      <c r="W126" s="134"/>
      <c r="X126" s="134"/>
      <c r="Y126" s="136"/>
      <c r="AA126" s="133">
        <f t="shared" si="7"/>
        <v>26</v>
      </c>
      <c r="AB126" s="134">
        <v>2</v>
      </c>
      <c r="AC126" s="134">
        <v>2</v>
      </c>
      <c r="AD126" s="135"/>
      <c r="AE126" s="134"/>
      <c r="AF126" s="134"/>
      <c r="AG126" s="136"/>
    </row>
    <row r="127" spans="2:33" ht="18.75" customHeight="1" x14ac:dyDescent="0.5">
      <c r="B127" s="137">
        <f t="shared" si="4"/>
        <v>27</v>
      </c>
      <c r="C127" s="130">
        <v>1</v>
      </c>
      <c r="D127" s="130">
        <v>1</v>
      </c>
      <c r="E127" s="131"/>
      <c r="F127" s="130"/>
      <c r="G127" s="130"/>
      <c r="H127" s="132"/>
      <c r="I127" s="44"/>
      <c r="J127" s="137">
        <f t="shared" si="5"/>
        <v>27</v>
      </c>
      <c r="K127" s="130">
        <v>1</v>
      </c>
      <c r="L127" s="130">
        <v>1</v>
      </c>
      <c r="M127" s="131"/>
      <c r="N127" s="130"/>
      <c r="O127" s="130"/>
      <c r="P127" s="132"/>
      <c r="Q127" s="44"/>
      <c r="R127" s="44"/>
      <c r="S127" s="137">
        <f t="shared" si="6"/>
        <v>27</v>
      </c>
      <c r="T127" s="130">
        <v>1</v>
      </c>
      <c r="U127" s="130">
        <v>1</v>
      </c>
      <c r="V127" s="131"/>
      <c r="W127" s="130"/>
      <c r="X127" s="130"/>
      <c r="Y127" s="132"/>
      <c r="AA127" s="137">
        <f t="shared" si="7"/>
        <v>27</v>
      </c>
      <c r="AB127" s="130">
        <v>1</v>
      </c>
      <c r="AC127" s="130">
        <v>1</v>
      </c>
      <c r="AD127" s="131"/>
      <c r="AE127" s="130"/>
      <c r="AF127" s="130"/>
      <c r="AG127" s="132"/>
    </row>
    <row r="128" spans="2:33" ht="18.75" customHeight="1" x14ac:dyDescent="0.5">
      <c r="B128" s="138">
        <f t="shared" si="4"/>
        <v>27</v>
      </c>
      <c r="C128" s="134">
        <v>1</v>
      </c>
      <c r="D128" s="134">
        <v>2</v>
      </c>
      <c r="E128" s="135"/>
      <c r="F128" s="134"/>
      <c r="G128" s="134"/>
      <c r="H128" s="136"/>
      <c r="I128" s="44"/>
      <c r="J128" s="138">
        <f t="shared" si="5"/>
        <v>27</v>
      </c>
      <c r="K128" s="134">
        <v>1</v>
      </c>
      <c r="L128" s="134">
        <v>2</v>
      </c>
      <c r="M128" s="135"/>
      <c r="N128" s="134"/>
      <c r="O128" s="134"/>
      <c r="P128" s="136"/>
      <c r="Q128" s="44"/>
      <c r="R128" s="44"/>
      <c r="S128" s="138">
        <f t="shared" si="6"/>
        <v>27</v>
      </c>
      <c r="T128" s="134">
        <v>1</v>
      </c>
      <c r="U128" s="134">
        <v>2</v>
      </c>
      <c r="V128" s="135"/>
      <c r="W128" s="134"/>
      <c r="X128" s="134"/>
      <c r="Y128" s="136"/>
      <c r="AA128" s="138">
        <f t="shared" si="7"/>
        <v>27</v>
      </c>
      <c r="AB128" s="134">
        <v>1</v>
      </c>
      <c r="AC128" s="134">
        <v>2</v>
      </c>
      <c r="AD128" s="135"/>
      <c r="AE128" s="134"/>
      <c r="AF128" s="134"/>
      <c r="AG128" s="136"/>
    </row>
    <row r="129" spans="2:33" ht="18.75" customHeight="1" x14ac:dyDescent="0.5">
      <c r="B129" s="137">
        <f t="shared" si="4"/>
        <v>27</v>
      </c>
      <c r="C129" s="130">
        <v>2</v>
      </c>
      <c r="D129" s="130">
        <v>1</v>
      </c>
      <c r="E129" s="131"/>
      <c r="F129" s="130"/>
      <c r="G129" s="130"/>
      <c r="H129" s="132"/>
      <c r="I129" s="44"/>
      <c r="J129" s="137">
        <f t="shared" si="5"/>
        <v>27</v>
      </c>
      <c r="K129" s="130">
        <v>2</v>
      </c>
      <c r="L129" s="130">
        <v>1</v>
      </c>
      <c r="M129" s="131"/>
      <c r="N129" s="130"/>
      <c r="O129" s="130"/>
      <c r="P129" s="132"/>
      <c r="Q129" s="44"/>
      <c r="R129" s="44"/>
      <c r="S129" s="137">
        <f t="shared" si="6"/>
        <v>27</v>
      </c>
      <c r="T129" s="130">
        <v>2</v>
      </c>
      <c r="U129" s="130">
        <v>1</v>
      </c>
      <c r="V129" s="131"/>
      <c r="W129" s="130"/>
      <c r="X129" s="130"/>
      <c r="Y129" s="132"/>
      <c r="AA129" s="137">
        <f t="shared" si="7"/>
        <v>27</v>
      </c>
      <c r="AB129" s="130">
        <v>2</v>
      </c>
      <c r="AC129" s="130">
        <v>1</v>
      </c>
      <c r="AD129" s="131"/>
      <c r="AE129" s="130"/>
      <c r="AF129" s="130"/>
      <c r="AG129" s="132"/>
    </row>
    <row r="130" spans="2:33" ht="18.75" customHeight="1" x14ac:dyDescent="0.5">
      <c r="B130" s="138">
        <f t="shared" si="4"/>
        <v>27</v>
      </c>
      <c r="C130" s="134">
        <v>2</v>
      </c>
      <c r="D130" s="134">
        <v>2</v>
      </c>
      <c r="E130" s="135"/>
      <c r="F130" s="134"/>
      <c r="G130" s="134"/>
      <c r="H130" s="136"/>
      <c r="I130" s="44"/>
      <c r="J130" s="138">
        <f t="shared" si="5"/>
        <v>27</v>
      </c>
      <c r="K130" s="134">
        <v>2</v>
      </c>
      <c r="L130" s="134">
        <v>2</v>
      </c>
      <c r="M130" s="135"/>
      <c r="N130" s="134"/>
      <c r="O130" s="134"/>
      <c r="P130" s="136"/>
      <c r="Q130" s="44"/>
      <c r="R130" s="44"/>
      <c r="S130" s="138">
        <f t="shared" si="6"/>
        <v>27</v>
      </c>
      <c r="T130" s="134">
        <v>2</v>
      </c>
      <c r="U130" s="134">
        <v>2</v>
      </c>
      <c r="V130" s="135"/>
      <c r="W130" s="134"/>
      <c r="X130" s="134"/>
      <c r="Y130" s="136"/>
      <c r="AA130" s="138">
        <f t="shared" si="7"/>
        <v>27</v>
      </c>
      <c r="AB130" s="134">
        <v>2</v>
      </c>
      <c r="AC130" s="134">
        <v>2</v>
      </c>
      <c r="AD130" s="135"/>
      <c r="AE130" s="134"/>
      <c r="AF130" s="134"/>
      <c r="AG130" s="136"/>
    </row>
    <row r="131" spans="2:33" ht="18.75" customHeight="1" x14ac:dyDescent="0.5">
      <c r="B131" s="129">
        <f t="shared" si="4"/>
        <v>28</v>
      </c>
      <c r="C131" s="130">
        <v>1</v>
      </c>
      <c r="D131" s="130">
        <v>1</v>
      </c>
      <c r="E131" s="131"/>
      <c r="F131" s="130"/>
      <c r="G131" s="130"/>
      <c r="H131" s="132"/>
      <c r="I131" s="44"/>
      <c r="J131" s="129">
        <f t="shared" si="5"/>
        <v>28</v>
      </c>
      <c r="K131" s="130">
        <v>1</v>
      </c>
      <c r="L131" s="130">
        <v>1</v>
      </c>
      <c r="M131" s="131"/>
      <c r="N131" s="130"/>
      <c r="O131" s="130"/>
      <c r="P131" s="132"/>
      <c r="Q131" s="44"/>
      <c r="R131" s="44"/>
      <c r="S131" s="129">
        <f t="shared" si="6"/>
        <v>28</v>
      </c>
      <c r="T131" s="130">
        <v>1</v>
      </c>
      <c r="U131" s="130">
        <v>1</v>
      </c>
      <c r="V131" s="131"/>
      <c r="W131" s="130"/>
      <c r="X131" s="130"/>
      <c r="Y131" s="132"/>
      <c r="AA131" s="129">
        <f t="shared" si="7"/>
        <v>28</v>
      </c>
      <c r="AB131" s="130">
        <v>1</v>
      </c>
      <c r="AC131" s="130">
        <v>1</v>
      </c>
      <c r="AD131" s="131"/>
      <c r="AE131" s="130"/>
      <c r="AF131" s="130"/>
      <c r="AG131" s="132"/>
    </row>
    <row r="132" spans="2:33" ht="18.75" customHeight="1" x14ac:dyDescent="0.5">
      <c r="B132" s="133">
        <f t="shared" si="4"/>
        <v>28</v>
      </c>
      <c r="C132" s="134">
        <v>1</v>
      </c>
      <c r="D132" s="134">
        <v>2</v>
      </c>
      <c r="E132" s="135"/>
      <c r="F132" s="134"/>
      <c r="G132" s="134"/>
      <c r="H132" s="136"/>
      <c r="I132" s="44"/>
      <c r="J132" s="133">
        <f t="shared" si="5"/>
        <v>28</v>
      </c>
      <c r="K132" s="134">
        <v>1</v>
      </c>
      <c r="L132" s="134">
        <v>2</v>
      </c>
      <c r="M132" s="135"/>
      <c r="N132" s="134"/>
      <c r="O132" s="134"/>
      <c r="P132" s="136"/>
      <c r="Q132" s="44"/>
      <c r="R132" s="44"/>
      <c r="S132" s="133">
        <f t="shared" si="6"/>
        <v>28</v>
      </c>
      <c r="T132" s="134">
        <v>1</v>
      </c>
      <c r="U132" s="134">
        <v>2</v>
      </c>
      <c r="V132" s="135"/>
      <c r="W132" s="134"/>
      <c r="X132" s="134"/>
      <c r="Y132" s="136"/>
      <c r="AA132" s="133">
        <f t="shared" si="7"/>
        <v>28</v>
      </c>
      <c r="AB132" s="134">
        <v>1</v>
      </c>
      <c r="AC132" s="134">
        <v>2</v>
      </c>
      <c r="AD132" s="135"/>
      <c r="AE132" s="134"/>
      <c r="AF132" s="134"/>
      <c r="AG132" s="136"/>
    </row>
    <row r="133" spans="2:33" ht="18.75" customHeight="1" x14ac:dyDescent="0.5">
      <c r="B133" s="129">
        <f t="shared" si="4"/>
        <v>28</v>
      </c>
      <c r="C133" s="130">
        <v>2</v>
      </c>
      <c r="D133" s="130">
        <v>1</v>
      </c>
      <c r="E133" s="131"/>
      <c r="F133" s="130"/>
      <c r="G133" s="130"/>
      <c r="H133" s="132"/>
      <c r="I133" s="44"/>
      <c r="J133" s="129">
        <f t="shared" si="5"/>
        <v>28</v>
      </c>
      <c r="K133" s="130">
        <v>2</v>
      </c>
      <c r="L133" s="130">
        <v>1</v>
      </c>
      <c r="M133" s="131"/>
      <c r="N133" s="130"/>
      <c r="O133" s="130"/>
      <c r="P133" s="132"/>
      <c r="Q133" s="44"/>
      <c r="R133" s="44"/>
      <c r="S133" s="129">
        <f t="shared" si="6"/>
        <v>28</v>
      </c>
      <c r="T133" s="130">
        <v>2</v>
      </c>
      <c r="U133" s="130">
        <v>1</v>
      </c>
      <c r="V133" s="131"/>
      <c r="W133" s="130"/>
      <c r="X133" s="130"/>
      <c r="Y133" s="132"/>
      <c r="AA133" s="129">
        <f t="shared" si="7"/>
        <v>28</v>
      </c>
      <c r="AB133" s="130">
        <v>2</v>
      </c>
      <c r="AC133" s="130">
        <v>1</v>
      </c>
      <c r="AD133" s="131"/>
      <c r="AE133" s="130"/>
      <c r="AF133" s="130"/>
      <c r="AG133" s="132"/>
    </row>
    <row r="134" spans="2:33" ht="18.75" customHeight="1" x14ac:dyDescent="0.5">
      <c r="B134" s="133">
        <f t="shared" si="4"/>
        <v>28</v>
      </c>
      <c r="C134" s="134">
        <v>2</v>
      </c>
      <c r="D134" s="134">
        <v>2</v>
      </c>
      <c r="E134" s="135"/>
      <c r="F134" s="134"/>
      <c r="G134" s="134"/>
      <c r="H134" s="136"/>
      <c r="I134" s="44"/>
      <c r="J134" s="133">
        <f t="shared" si="5"/>
        <v>28</v>
      </c>
      <c r="K134" s="134">
        <v>2</v>
      </c>
      <c r="L134" s="134">
        <v>2</v>
      </c>
      <c r="M134" s="135"/>
      <c r="N134" s="134"/>
      <c r="O134" s="134"/>
      <c r="P134" s="136"/>
      <c r="Q134" s="44"/>
      <c r="R134" s="44"/>
      <c r="S134" s="133">
        <f t="shared" si="6"/>
        <v>28</v>
      </c>
      <c r="T134" s="134">
        <v>2</v>
      </c>
      <c r="U134" s="134">
        <v>2</v>
      </c>
      <c r="V134" s="135"/>
      <c r="W134" s="134"/>
      <c r="X134" s="134"/>
      <c r="Y134" s="136"/>
      <c r="AA134" s="133">
        <f t="shared" si="7"/>
        <v>28</v>
      </c>
      <c r="AB134" s="134">
        <v>2</v>
      </c>
      <c r="AC134" s="134">
        <v>2</v>
      </c>
      <c r="AD134" s="135"/>
      <c r="AE134" s="134"/>
      <c r="AF134" s="134"/>
      <c r="AG134" s="136"/>
    </row>
    <row r="135" spans="2:33" ht="18.75" customHeight="1" x14ac:dyDescent="0.5">
      <c r="B135" s="129">
        <f t="shared" si="4"/>
        <v>29</v>
      </c>
      <c r="C135" s="130">
        <v>1</v>
      </c>
      <c r="D135" s="130">
        <v>1</v>
      </c>
      <c r="E135" s="131"/>
      <c r="F135" s="130"/>
      <c r="G135" s="130"/>
      <c r="H135" s="132"/>
      <c r="I135" s="44"/>
      <c r="J135" s="129">
        <f t="shared" si="5"/>
        <v>29</v>
      </c>
      <c r="K135" s="130">
        <v>1</v>
      </c>
      <c r="L135" s="130">
        <v>1</v>
      </c>
      <c r="M135" s="131"/>
      <c r="N135" s="130"/>
      <c r="O135" s="130"/>
      <c r="P135" s="132"/>
      <c r="Q135" s="44"/>
      <c r="R135" s="44"/>
      <c r="S135" s="129">
        <f t="shared" si="6"/>
        <v>29</v>
      </c>
      <c r="T135" s="130">
        <v>1</v>
      </c>
      <c r="U135" s="130">
        <v>1</v>
      </c>
      <c r="V135" s="131"/>
      <c r="W135" s="130"/>
      <c r="X135" s="130"/>
      <c r="Y135" s="132"/>
      <c r="AA135" s="129">
        <f t="shared" si="7"/>
        <v>29</v>
      </c>
      <c r="AB135" s="130">
        <v>1</v>
      </c>
      <c r="AC135" s="130">
        <v>1</v>
      </c>
      <c r="AD135" s="131"/>
      <c r="AE135" s="130"/>
      <c r="AF135" s="130"/>
      <c r="AG135" s="132"/>
    </row>
    <row r="136" spans="2:33" ht="18.75" customHeight="1" x14ac:dyDescent="0.5">
      <c r="B136" s="133">
        <f t="shared" si="4"/>
        <v>29</v>
      </c>
      <c r="C136" s="134">
        <v>1</v>
      </c>
      <c r="D136" s="134">
        <v>2</v>
      </c>
      <c r="E136" s="135"/>
      <c r="F136" s="134"/>
      <c r="G136" s="134"/>
      <c r="H136" s="136"/>
      <c r="I136" s="44"/>
      <c r="J136" s="133">
        <f t="shared" si="5"/>
        <v>29</v>
      </c>
      <c r="K136" s="134">
        <v>1</v>
      </c>
      <c r="L136" s="134">
        <v>2</v>
      </c>
      <c r="M136" s="135"/>
      <c r="N136" s="134"/>
      <c r="O136" s="134"/>
      <c r="P136" s="136"/>
      <c r="Q136" s="44"/>
      <c r="R136" s="44"/>
      <c r="S136" s="133">
        <f t="shared" si="6"/>
        <v>29</v>
      </c>
      <c r="T136" s="134">
        <v>1</v>
      </c>
      <c r="U136" s="134">
        <v>2</v>
      </c>
      <c r="V136" s="135"/>
      <c r="W136" s="134"/>
      <c r="X136" s="134"/>
      <c r="Y136" s="136"/>
      <c r="AA136" s="133">
        <f t="shared" si="7"/>
        <v>29</v>
      </c>
      <c r="AB136" s="134">
        <v>1</v>
      </c>
      <c r="AC136" s="134">
        <v>2</v>
      </c>
      <c r="AD136" s="135"/>
      <c r="AE136" s="134"/>
      <c r="AF136" s="134"/>
      <c r="AG136" s="136"/>
    </row>
    <row r="137" spans="2:33" ht="18.75" customHeight="1" x14ac:dyDescent="0.5">
      <c r="B137" s="129">
        <f t="shared" si="4"/>
        <v>29</v>
      </c>
      <c r="C137" s="130">
        <v>2</v>
      </c>
      <c r="D137" s="130">
        <v>1</v>
      </c>
      <c r="E137" s="131"/>
      <c r="F137" s="130"/>
      <c r="G137" s="130"/>
      <c r="H137" s="132"/>
      <c r="I137" s="44"/>
      <c r="J137" s="129">
        <f t="shared" si="5"/>
        <v>29</v>
      </c>
      <c r="K137" s="130">
        <v>2</v>
      </c>
      <c r="L137" s="130">
        <v>1</v>
      </c>
      <c r="M137" s="131"/>
      <c r="N137" s="130"/>
      <c r="O137" s="130"/>
      <c r="P137" s="132"/>
      <c r="Q137" s="44"/>
      <c r="R137" s="44"/>
      <c r="S137" s="129">
        <f t="shared" si="6"/>
        <v>29</v>
      </c>
      <c r="T137" s="130">
        <v>2</v>
      </c>
      <c r="U137" s="130">
        <v>1</v>
      </c>
      <c r="V137" s="131"/>
      <c r="W137" s="130"/>
      <c r="X137" s="130"/>
      <c r="Y137" s="132"/>
      <c r="AA137" s="129">
        <f t="shared" si="7"/>
        <v>29</v>
      </c>
      <c r="AB137" s="130">
        <v>2</v>
      </c>
      <c r="AC137" s="130">
        <v>1</v>
      </c>
      <c r="AD137" s="131"/>
      <c r="AE137" s="130"/>
      <c r="AF137" s="130"/>
      <c r="AG137" s="132"/>
    </row>
    <row r="138" spans="2:33" ht="18.75" customHeight="1" thickBot="1" x14ac:dyDescent="0.55000000000000004">
      <c r="B138" s="139">
        <f t="shared" si="4"/>
        <v>29</v>
      </c>
      <c r="C138" s="140">
        <v>2</v>
      </c>
      <c r="D138" s="140">
        <v>2</v>
      </c>
      <c r="E138" s="141"/>
      <c r="F138" s="140"/>
      <c r="G138" s="140"/>
      <c r="H138" s="142"/>
      <c r="I138" s="44"/>
      <c r="J138" s="139">
        <f t="shared" si="5"/>
        <v>29</v>
      </c>
      <c r="K138" s="140">
        <v>2</v>
      </c>
      <c r="L138" s="140">
        <v>2</v>
      </c>
      <c r="M138" s="141"/>
      <c r="N138" s="140"/>
      <c r="O138" s="140"/>
      <c r="P138" s="142"/>
      <c r="Q138" s="44"/>
      <c r="R138" s="44"/>
      <c r="S138" s="139">
        <f t="shared" si="6"/>
        <v>29</v>
      </c>
      <c r="T138" s="140">
        <v>2</v>
      </c>
      <c r="U138" s="140">
        <v>2</v>
      </c>
      <c r="V138" s="141"/>
      <c r="W138" s="140"/>
      <c r="X138" s="140"/>
      <c r="Y138" s="142"/>
      <c r="AA138" s="139">
        <f t="shared" si="7"/>
        <v>29</v>
      </c>
      <c r="AB138" s="140">
        <v>2</v>
      </c>
      <c r="AC138" s="140">
        <v>2</v>
      </c>
      <c r="AD138" s="141"/>
      <c r="AE138" s="140"/>
      <c r="AF138" s="140"/>
      <c r="AG138" s="142"/>
    </row>
    <row r="139" spans="2:33" ht="18.75" customHeight="1" x14ac:dyDescent="0.45"/>
    <row r="140" spans="2:33" ht="18.75" customHeight="1" x14ac:dyDescent="0.45"/>
    <row r="141" spans="2:33" ht="18.75" customHeight="1" x14ac:dyDescent="0.45"/>
    <row r="142" spans="2:33" ht="18.75" customHeight="1" x14ac:dyDescent="0.45"/>
    <row r="143" spans="2:33" ht="18.75" customHeight="1" x14ac:dyDescent="0.45"/>
    <row r="144" spans="2:33" ht="18.75" customHeight="1" x14ac:dyDescent="0.45"/>
    <row r="145" ht="18.75" customHeight="1" x14ac:dyDescent="0.45"/>
    <row r="146" ht="18.75" customHeight="1" x14ac:dyDescent="0.45"/>
    <row r="147" ht="18.75" customHeight="1" x14ac:dyDescent="0.45"/>
    <row r="148" ht="18.75" customHeight="1" x14ac:dyDescent="0.45"/>
    <row r="149" ht="18.75" customHeight="1" x14ac:dyDescent="0.45"/>
    <row r="150" ht="18.75" customHeight="1" x14ac:dyDescent="0.45"/>
    <row r="151" ht="18.75" customHeight="1" x14ac:dyDescent="0.45"/>
    <row r="152" ht="18.75" customHeight="1" x14ac:dyDescent="0.45"/>
    <row r="153" ht="18.75" customHeight="1" x14ac:dyDescent="0.45"/>
    <row r="154" ht="18.75" customHeight="1" x14ac:dyDescent="0.45"/>
    <row r="155" ht="18.75" customHeight="1" x14ac:dyDescent="0.45"/>
    <row r="156" ht="18.75" customHeight="1" x14ac:dyDescent="0.45"/>
    <row r="157" ht="18.75" customHeight="1" x14ac:dyDescent="0.45"/>
    <row r="158" ht="18.75" customHeight="1" x14ac:dyDescent="0.45"/>
    <row r="159" ht="18.75" customHeight="1" x14ac:dyDescent="0.45"/>
    <row r="160" ht="18.75" customHeight="1" x14ac:dyDescent="0.45"/>
    <row r="161" ht="18.75" customHeight="1" x14ac:dyDescent="0.45"/>
    <row r="162" ht="18.75" customHeight="1" x14ac:dyDescent="0.45"/>
    <row r="163" ht="18.75" customHeight="1" x14ac:dyDescent="0.45"/>
    <row r="164" ht="18.75" customHeight="1" x14ac:dyDescent="0.45"/>
    <row r="165" ht="18.75" customHeight="1" x14ac:dyDescent="0.45"/>
    <row r="166" ht="18.75" customHeight="1" x14ac:dyDescent="0.45"/>
    <row r="167" ht="18.75" customHeight="1" x14ac:dyDescent="0.45"/>
    <row r="168" ht="18.75" customHeight="1" x14ac:dyDescent="0.45"/>
    <row r="169" ht="18.75" customHeight="1" x14ac:dyDescent="0.45"/>
    <row r="170" ht="18.75" customHeight="1" x14ac:dyDescent="0.45"/>
    <row r="171" ht="18.75" customHeight="1" x14ac:dyDescent="0.45"/>
    <row r="172" ht="18.75" customHeight="1" x14ac:dyDescent="0.45"/>
    <row r="173" ht="18.75" customHeight="1" x14ac:dyDescent="0.45"/>
    <row r="174" ht="18.75" customHeight="1" x14ac:dyDescent="0.45"/>
    <row r="175" ht="18.75" customHeight="1" x14ac:dyDescent="0.45"/>
    <row r="176" ht="18.75" customHeight="1" x14ac:dyDescent="0.45"/>
    <row r="177" ht="18.75" customHeight="1" x14ac:dyDescent="0.45"/>
    <row r="178" ht="18.75" customHeight="1" x14ac:dyDescent="0.45"/>
    <row r="179" ht="18.75" customHeight="1" x14ac:dyDescent="0.45"/>
    <row r="180" ht="18.75" customHeight="1" x14ac:dyDescent="0.45"/>
    <row r="181" ht="18.75" customHeight="1" x14ac:dyDescent="0.45"/>
    <row r="182" ht="18.75" customHeight="1" x14ac:dyDescent="0.45"/>
    <row r="183" ht="18.75" customHeight="1" x14ac:dyDescent="0.45"/>
    <row r="184" ht="18.75" customHeight="1" x14ac:dyDescent="0.45"/>
    <row r="185" ht="18.75" customHeight="1" x14ac:dyDescent="0.45"/>
    <row r="186" ht="18.75" customHeight="1" x14ac:dyDescent="0.45"/>
    <row r="187" ht="18.75" customHeight="1" x14ac:dyDescent="0.45"/>
    <row r="188" ht="18.75" customHeight="1" x14ac:dyDescent="0.45"/>
    <row r="189" ht="18.75" customHeight="1" x14ac:dyDescent="0.45"/>
    <row r="190" ht="18.75" customHeight="1" x14ac:dyDescent="0.45"/>
    <row r="191" ht="18.75" customHeight="1" x14ac:dyDescent="0.45"/>
    <row r="192" ht="18.75" customHeight="1" x14ac:dyDescent="0.45"/>
    <row r="193" ht="18.75" customHeight="1" x14ac:dyDescent="0.45"/>
    <row r="194" ht="18.75" customHeight="1" x14ac:dyDescent="0.45"/>
    <row r="195" ht="18.75" customHeight="1" x14ac:dyDescent="0.45"/>
    <row r="196" ht="18.75" customHeight="1" x14ac:dyDescent="0.45"/>
    <row r="197" ht="18.75" customHeight="1" x14ac:dyDescent="0.45"/>
    <row r="198" ht="18.75" customHeight="1" x14ac:dyDescent="0.45"/>
    <row r="199" ht="18.75" customHeight="1" x14ac:dyDescent="0.45"/>
    <row r="200" ht="18.75" customHeight="1" x14ac:dyDescent="0.45"/>
    <row r="201" ht="18.75" customHeight="1" x14ac:dyDescent="0.45"/>
    <row r="202" ht="18.75" customHeight="1" x14ac:dyDescent="0.45"/>
    <row r="203" ht="18.75" customHeight="1" x14ac:dyDescent="0.45"/>
    <row r="204" ht="18.75" customHeight="1" x14ac:dyDescent="0.45"/>
    <row r="205" ht="18.75" customHeight="1" x14ac:dyDescent="0.45"/>
    <row r="206" ht="18.75" customHeight="1" x14ac:dyDescent="0.45"/>
    <row r="207" ht="18.75" customHeight="1" x14ac:dyDescent="0.45"/>
    <row r="208" ht="18.75" customHeight="1" x14ac:dyDescent="0.45"/>
    <row r="209" ht="18.75" customHeight="1" x14ac:dyDescent="0.45"/>
    <row r="210" ht="18.75" customHeight="1" x14ac:dyDescent="0.45"/>
    <row r="211" ht="18.75" customHeight="1" x14ac:dyDescent="0.45"/>
    <row r="212" ht="18.75" customHeight="1" x14ac:dyDescent="0.45"/>
    <row r="213" ht="18.75" customHeight="1" x14ac:dyDescent="0.45"/>
    <row r="214" ht="18.75" customHeight="1" x14ac:dyDescent="0.45"/>
    <row r="215" ht="18.75" customHeight="1" x14ac:dyDescent="0.45"/>
    <row r="216" ht="18.75" customHeight="1" x14ac:dyDescent="0.45"/>
    <row r="217" ht="18.75" customHeight="1" x14ac:dyDescent="0.45"/>
    <row r="218" ht="18.75" customHeight="1" x14ac:dyDescent="0.45"/>
  </sheetData>
  <mergeCells count="2">
    <mergeCell ref="G10:L15"/>
    <mergeCell ref="B1:L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M39"/>
  <sheetViews>
    <sheetView workbookViewId="0">
      <selection activeCell="E16" sqref="E16"/>
    </sheetView>
  </sheetViews>
  <sheetFormatPr defaultRowHeight="14.25" x14ac:dyDescent="0.45"/>
  <cols>
    <col min="1" max="1" width="33" customWidth="1"/>
    <col min="2" max="2" width="9.796875" style="8" bestFit="1" customWidth="1"/>
    <col min="3" max="3" width="18.06640625" style="20" customWidth="1"/>
    <col min="4" max="4" width="13.59765625" style="20" bestFit="1" customWidth="1"/>
    <col min="5" max="5" width="16.59765625" style="20" bestFit="1" customWidth="1"/>
    <col min="6" max="6" width="17.33203125" bestFit="1" customWidth="1"/>
  </cols>
  <sheetData>
    <row r="1" spans="1:13" ht="48" customHeight="1" thickBot="1" x14ac:dyDescent="0.5">
      <c r="A1" s="244" t="s">
        <v>97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</row>
    <row r="2" spans="1:13" ht="18.75" customHeight="1" thickTop="1" x14ac:dyDescent="0.45">
      <c r="A2" s="3" t="s">
        <v>5</v>
      </c>
      <c r="B2" s="176" t="str">
        <f>'Method Summary'!C8</f>
        <v>umol/L</v>
      </c>
      <c r="C2" s="177"/>
      <c r="D2" s="177"/>
      <c r="E2" s="178"/>
      <c r="F2" s="179"/>
      <c r="H2" s="245" t="s">
        <v>108</v>
      </c>
      <c r="I2" s="246"/>
      <c r="J2" s="246"/>
      <c r="K2" s="246"/>
      <c r="L2" s="246"/>
      <c r="M2" s="247"/>
    </row>
    <row r="3" spans="1:13" ht="18.75" customHeight="1" thickBot="1" x14ac:dyDescent="0.5">
      <c r="A3" s="15" t="s">
        <v>4</v>
      </c>
      <c r="B3" s="180" t="s">
        <v>32</v>
      </c>
      <c r="C3" s="181"/>
      <c r="D3" s="181"/>
      <c r="E3" s="182"/>
      <c r="F3" s="183"/>
      <c r="H3" s="248"/>
      <c r="I3" s="249"/>
      <c r="J3" s="249"/>
      <c r="K3" s="249"/>
      <c r="L3" s="249"/>
      <c r="M3" s="250"/>
    </row>
    <row r="4" spans="1:13" ht="18.75" customHeight="1" thickBot="1" x14ac:dyDescent="0.5">
      <c r="A4" s="15"/>
      <c r="B4" s="184"/>
      <c r="C4" s="184"/>
      <c r="D4" s="184"/>
      <c r="E4" s="184"/>
      <c r="F4" s="170"/>
      <c r="H4" s="248"/>
      <c r="I4" s="249"/>
      <c r="J4" s="249"/>
      <c r="K4" s="249"/>
      <c r="L4" s="249"/>
      <c r="M4" s="250"/>
    </row>
    <row r="5" spans="1:13" ht="18.75" customHeight="1" x14ac:dyDescent="0.45">
      <c r="A5" s="170" t="s">
        <v>18</v>
      </c>
      <c r="B5" s="257"/>
      <c r="C5" s="258"/>
      <c r="D5" s="258"/>
      <c r="E5" s="258"/>
      <c r="F5" s="259"/>
      <c r="H5" s="248"/>
      <c r="I5" s="249"/>
      <c r="J5" s="249"/>
      <c r="K5" s="249"/>
      <c r="L5" s="249"/>
      <c r="M5" s="250"/>
    </row>
    <row r="6" spans="1:13" ht="18.75" customHeight="1" x14ac:dyDescent="0.45">
      <c r="A6" s="171" t="s">
        <v>19</v>
      </c>
      <c r="B6" s="185"/>
      <c r="C6" s="186"/>
      <c r="D6" s="186"/>
      <c r="E6" s="186"/>
      <c r="F6" s="187"/>
      <c r="H6" s="248"/>
      <c r="I6" s="249"/>
      <c r="J6" s="249"/>
      <c r="K6" s="249"/>
      <c r="L6" s="249"/>
      <c r="M6" s="250"/>
    </row>
    <row r="7" spans="1:13" ht="18.75" customHeight="1" x14ac:dyDescent="0.45">
      <c r="A7" s="172" t="s">
        <v>20</v>
      </c>
      <c r="B7" s="260"/>
      <c r="C7" s="261"/>
      <c r="D7" s="261"/>
      <c r="E7" s="261"/>
      <c r="F7" s="262"/>
      <c r="H7" s="248"/>
      <c r="I7" s="249"/>
      <c r="J7" s="249"/>
      <c r="K7" s="249"/>
      <c r="L7" s="249"/>
      <c r="M7" s="250"/>
    </row>
    <row r="8" spans="1:13" ht="18.75" customHeight="1" thickBot="1" x14ac:dyDescent="0.5">
      <c r="A8" s="172" t="s">
        <v>21</v>
      </c>
      <c r="B8" s="260"/>
      <c r="C8" s="261"/>
      <c r="D8" s="261"/>
      <c r="E8" s="261"/>
      <c r="F8" s="262"/>
      <c r="H8" s="251"/>
      <c r="I8" s="252"/>
      <c r="J8" s="252"/>
      <c r="K8" s="252"/>
      <c r="L8" s="252"/>
      <c r="M8" s="253"/>
    </row>
    <row r="9" spans="1:13" ht="18.75" customHeight="1" thickTop="1" thickBot="1" x14ac:dyDescent="0.5">
      <c r="A9" s="173" t="s">
        <v>22</v>
      </c>
      <c r="B9" s="263"/>
      <c r="C9" s="264"/>
      <c r="D9" s="264"/>
      <c r="E9" s="264"/>
      <c r="F9" s="265"/>
    </row>
    <row r="10" spans="1:13" ht="18.75" customHeight="1" x14ac:dyDescent="0.45">
      <c r="A10" s="168" t="s">
        <v>103</v>
      </c>
      <c r="B10" s="169" t="s">
        <v>104</v>
      </c>
    </row>
    <row r="11" spans="1:13" ht="18.75" customHeight="1" thickBot="1" x14ac:dyDescent="0.5"/>
    <row r="12" spans="1:13" ht="18.75" customHeight="1" x14ac:dyDescent="0.45">
      <c r="A12" s="168" t="s">
        <v>100</v>
      </c>
      <c r="B12" s="266" t="s">
        <v>101</v>
      </c>
      <c r="C12" s="267"/>
      <c r="D12" s="267"/>
      <c r="E12" s="267"/>
      <c r="F12" s="268"/>
    </row>
    <row r="13" spans="1:13" ht="18.75" customHeight="1" thickBot="1" x14ac:dyDescent="0.5">
      <c r="B13" s="254" t="s">
        <v>102</v>
      </c>
      <c r="C13" s="255"/>
      <c r="D13" s="255"/>
      <c r="E13" s="255"/>
      <c r="F13" s="256"/>
    </row>
    <row r="14" spans="1:13" ht="18.75" customHeight="1" x14ac:dyDescent="0.45"/>
    <row r="15" spans="1:13" ht="18.75" customHeight="1" x14ac:dyDescent="0.45">
      <c r="A15" t="s">
        <v>24</v>
      </c>
      <c r="B15" s="8" t="s">
        <v>25</v>
      </c>
      <c r="C15" s="20" t="s">
        <v>26</v>
      </c>
      <c r="D15" s="20" t="s">
        <v>27</v>
      </c>
      <c r="E15" s="20" t="s">
        <v>144</v>
      </c>
      <c r="F15" t="s">
        <v>28</v>
      </c>
    </row>
    <row r="16" spans="1:13" ht="18.75" customHeight="1" x14ac:dyDescent="0.45">
      <c r="A16" t="s">
        <v>29</v>
      </c>
      <c r="B16" s="11">
        <v>1</v>
      </c>
      <c r="C16" s="13"/>
      <c r="D16" s="13" t="e">
        <f>AVERAGE(C16:C18)</f>
        <v>#DIV/0!</v>
      </c>
      <c r="E16" s="13"/>
    </row>
    <row r="17" spans="1:5" ht="18.75" customHeight="1" x14ac:dyDescent="0.45">
      <c r="A17" t="s">
        <v>29</v>
      </c>
      <c r="B17" s="11">
        <v>2</v>
      </c>
      <c r="C17" s="13"/>
    </row>
    <row r="18" spans="1:5" ht="18.75" customHeight="1" x14ac:dyDescent="0.45">
      <c r="A18" t="s">
        <v>29</v>
      </c>
      <c r="B18" s="11">
        <v>3</v>
      </c>
      <c r="C18" s="13"/>
    </row>
    <row r="19" spans="1:5" ht="18.75" customHeight="1" x14ac:dyDescent="0.45">
      <c r="A19" t="s">
        <v>30</v>
      </c>
      <c r="B19" s="11">
        <v>1</v>
      </c>
      <c r="C19" s="13"/>
      <c r="D19" s="21" t="e">
        <f>AVERAGE(C19:C21)</f>
        <v>#DIV/0!</v>
      </c>
      <c r="E19" s="13"/>
    </row>
    <row r="20" spans="1:5" ht="18.75" customHeight="1" x14ac:dyDescent="0.45">
      <c r="A20" t="s">
        <v>30</v>
      </c>
      <c r="B20" s="11">
        <v>2</v>
      </c>
      <c r="C20" s="13"/>
    </row>
    <row r="21" spans="1:5" ht="18.75" customHeight="1" x14ac:dyDescent="0.45">
      <c r="A21" t="s">
        <v>30</v>
      </c>
      <c r="B21" s="11">
        <v>3</v>
      </c>
      <c r="C21" s="13"/>
    </row>
    <row r="22" spans="1:5" ht="18.75" customHeight="1" x14ac:dyDescent="0.45">
      <c r="A22" t="s">
        <v>31</v>
      </c>
      <c r="B22" s="11">
        <v>1</v>
      </c>
      <c r="C22" s="13"/>
      <c r="D22" s="13" t="e">
        <f>AVERAGE(C22:C24)</f>
        <v>#DIV/0!</v>
      </c>
      <c r="E22" s="13"/>
    </row>
    <row r="23" spans="1:5" ht="18.75" customHeight="1" x14ac:dyDescent="0.45">
      <c r="A23" t="s">
        <v>31</v>
      </c>
      <c r="B23" s="11">
        <v>2</v>
      </c>
      <c r="C23" s="13"/>
    </row>
    <row r="24" spans="1:5" ht="18.75" customHeight="1" x14ac:dyDescent="0.45">
      <c r="A24" t="s">
        <v>31</v>
      </c>
      <c r="B24" s="11">
        <v>3</v>
      </c>
      <c r="C24" s="13"/>
    </row>
    <row r="25" spans="1:5" ht="18.75" customHeight="1" x14ac:dyDescent="0.45">
      <c r="A25" t="s">
        <v>98</v>
      </c>
      <c r="B25" s="11">
        <v>1</v>
      </c>
      <c r="C25" s="13"/>
      <c r="D25" s="21" t="e">
        <f>AVERAGE(C25:C27)</f>
        <v>#DIV/0!</v>
      </c>
      <c r="E25" s="19"/>
    </row>
    <row r="26" spans="1:5" ht="18.75" customHeight="1" x14ac:dyDescent="0.45">
      <c r="A26" t="s">
        <v>98</v>
      </c>
      <c r="B26" s="11">
        <v>2</v>
      </c>
      <c r="C26" s="13"/>
    </row>
    <row r="27" spans="1:5" ht="18.75" customHeight="1" x14ac:dyDescent="0.45">
      <c r="A27" t="s">
        <v>98</v>
      </c>
      <c r="B27" s="11">
        <v>3</v>
      </c>
      <c r="C27" s="13"/>
    </row>
    <row r="28" spans="1:5" ht="18.75" customHeight="1" x14ac:dyDescent="0.45">
      <c r="A28" t="s">
        <v>99</v>
      </c>
      <c r="B28" s="11">
        <v>1</v>
      </c>
      <c r="C28" s="13"/>
      <c r="D28" s="13" t="e">
        <f>AVERAGE(C28:C30)</f>
        <v>#DIV/0!</v>
      </c>
      <c r="E28" s="13"/>
    </row>
    <row r="29" spans="1:5" ht="18.75" customHeight="1" x14ac:dyDescent="0.45">
      <c r="A29" t="s">
        <v>99</v>
      </c>
      <c r="B29" s="11">
        <v>2</v>
      </c>
      <c r="C29" s="13"/>
    </row>
    <row r="30" spans="1:5" ht="18.75" customHeight="1" x14ac:dyDescent="0.45">
      <c r="A30" t="s">
        <v>99</v>
      </c>
      <c r="B30" s="11">
        <v>3</v>
      </c>
      <c r="C30" s="13"/>
    </row>
    <row r="31" spans="1:5" ht="18.75" customHeight="1" x14ac:dyDescent="0.45">
      <c r="B31" s="11"/>
      <c r="E31" s="19"/>
    </row>
    <row r="32" spans="1:5" ht="18.75" customHeight="1" x14ac:dyDescent="0.45">
      <c r="B32" s="11"/>
    </row>
    <row r="33" spans="2:5" ht="18.75" customHeight="1" x14ac:dyDescent="0.45">
      <c r="B33" s="11"/>
    </row>
    <row r="34" spans="2:5" ht="18.75" customHeight="1" x14ac:dyDescent="0.45">
      <c r="B34" s="11"/>
      <c r="E34" s="19"/>
    </row>
    <row r="35" spans="2:5" ht="18.75" customHeight="1" x14ac:dyDescent="0.45">
      <c r="B35" s="11"/>
    </row>
    <row r="36" spans="2:5" ht="18.75" customHeight="1" x14ac:dyDescent="0.45">
      <c r="B36" s="11"/>
    </row>
    <row r="39" spans="2:5" ht="14.65" customHeight="1" x14ac:dyDescent="0.45"/>
  </sheetData>
  <mergeCells count="8">
    <mergeCell ref="H2:M8"/>
    <mergeCell ref="B13:F13"/>
    <mergeCell ref="A1:K1"/>
    <mergeCell ref="B5:F5"/>
    <mergeCell ref="B7:F7"/>
    <mergeCell ref="B8:F8"/>
    <mergeCell ref="B9:F9"/>
    <mergeCell ref="B12:F1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M39"/>
  <sheetViews>
    <sheetView workbookViewId="0">
      <selection activeCell="E16" sqref="E16"/>
    </sheetView>
  </sheetViews>
  <sheetFormatPr defaultRowHeight="14.25" x14ac:dyDescent="0.45"/>
  <cols>
    <col min="1" max="1" width="33" customWidth="1"/>
    <col min="2" max="2" width="9.796875" style="8" bestFit="1" customWidth="1"/>
    <col min="3" max="3" width="18.06640625" style="20" customWidth="1"/>
    <col min="4" max="4" width="13.59765625" style="20" bestFit="1" customWidth="1"/>
    <col min="5" max="5" width="16.59765625" style="20" bestFit="1" customWidth="1"/>
    <col min="6" max="6" width="17.33203125" bestFit="1" customWidth="1"/>
  </cols>
  <sheetData>
    <row r="1" spans="1:13" ht="48" customHeight="1" thickBot="1" x14ac:dyDescent="0.5">
      <c r="A1" s="244" t="s">
        <v>97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</row>
    <row r="2" spans="1:13" ht="18.75" customHeight="1" thickTop="1" x14ac:dyDescent="0.45">
      <c r="A2" s="3" t="s">
        <v>5</v>
      </c>
      <c r="B2" s="176" t="str">
        <f>'Method Summary'!C8</f>
        <v>umol/L</v>
      </c>
      <c r="C2" s="177"/>
      <c r="D2" s="177"/>
      <c r="E2" s="178"/>
      <c r="F2" s="179"/>
      <c r="H2" s="245" t="s">
        <v>108</v>
      </c>
      <c r="I2" s="246"/>
      <c r="J2" s="246"/>
      <c r="K2" s="246"/>
      <c r="L2" s="246"/>
      <c r="M2" s="247"/>
    </row>
    <row r="3" spans="1:13" ht="18.75" customHeight="1" thickBot="1" x14ac:dyDescent="0.5">
      <c r="A3" s="15" t="s">
        <v>4</v>
      </c>
      <c r="B3" s="180" t="s">
        <v>122</v>
      </c>
      <c r="C3" s="181"/>
      <c r="D3" s="181"/>
      <c r="E3" s="182"/>
      <c r="F3" s="183"/>
      <c r="H3" s="248"/>
      <c r="I3" s="249"/>
      <c r="J3" s="249"/>
      <c r="K3" s="249"/>
      <c r="L3" s="249"/>
      <c r="M3" s="250"/>
    </row>
    <row r="4" spans="1:13" ht="18.75" customHeight="1" thickBot="1" x14ac:dyDescent="0.5">
      <c r="A4" s="15"/>
      <c r="B4" s="184"/>
      <c r="C4" s="184"/>
      <c r="D4" s="184"/>
      <c r="E4" s="184"/>
      <c r="F4" s="170"/>
      <c r="H4" s="248"/>
      <c r="I4" s="249"/>
      <c r="J4" s="249"/>
      <c r="K4" s="249"/>
      <c r="L4" s="249"/>
      <c r="M4" s="250"/>
    </row>
    <row r="5" spans="1:13" ht="18.75" customHeight="1" x14ac:dyDescent="0.45">
      <c r="A5" s="170" t="s">
        <v>18</v>
      </c>
      <c r="B5" s="257"/>
      <c r="C5" s="258"/>
      <c r="D5" s="258"/>
      <c r="E5" s="258"/>
      <c r="F5" s="259"/>
      <c r="H5" s="248"/>
      <c r="I5" s="249"/>
      <c r="J5" s="249"/>
      <c r="K5" s="249"/>
      <c r="L5" s="249"/>
      <c r="M5" s="250"/>
    </row>
    <row r="6" spans="1:13" ht="18.75" customHeight="1" x14ac:dyDescent="0.45">
      <c r="A6" s="171" t="s">
        <v>19</v>
      </c>
      <c r="B6" s="185"/>
      <c r="C6" s="186"/>
      <c r="D6" s="186"/>
      <c r="E6" s="186"/>
      <c r="F6" s="187"/>
      <c r="H6" s="248"/>
      <c r="I6" s="249"/>
      <c r="J6" s="249"/>
      <c r="K6" s="249"/>
      <c r="L6" s="249"/>
      <c r="M6" s="250"/>
    </row>
    <row r="7" spans="1:13" ht="18.75" customHeight="1" x14ac:dyDescent="0.45">
      <c r="A7" s="172" t="s">
        <v>20</v>
      </c>
      <c r="B7" s="260"/>
      <c r="C7" s="261"/>
      <c r="D7" s="261"/>
      <c r="E7" s="261"/>
      <c r="F7" s="262"/>
      <c r="H7" s="248"/>
      <c r="I7" s="249"/>
      <c r="J7" s="249"/>
      <c r="K7" s="249"/>
      <c r="L7" s="249"/>
      <c r="M7" s="250"/>
    </row>
    <row r="8" spans="1:13" ht="18.75" customHeight="1" thickBot="1" x14ac:dyDescent="0.5">
      <c r="A8" s="172" t="s">
        <v>21</v>
      </c>
      <c r="B8" s="260"/>
      <c r="C8" s="261"/>
      <c r="D8" s="261"/>
      <c r="E8" s="261"/>
      <c r="F8" s="262"/>
      <c r="H8" s="251"/>
      <c r="I8" s="252"/>
      <c r="J8" s="252"/>
      <c r="K8" s="252"/>
      <c r="L8" s="252"/>
      <c r="M8" s="253"/>
    </row>
    <row r="9" spans="1:13" ht="18.75" customHeight="1" thickTop="1" thickBot="1" x14ac:dyDescent="0.5">
      <c r="A9" s="173" t="s">
        <v>22</v>
      </c>
      <c r="B9" s="263"/>
      <c r="C9" s="264"/>
      <c r="D9" s="264"/>
      <c r="E9" s="264"/>
      <c r="F9" s="265"/>
    </row>
    <row r="10" spans="1:13" ht="18.75" customHeight="1" x14ac:dyDescent="0.45">
      <c r="A10" s="168" t="s">
        <v>103</v>
      </c>
      <c r="B10" s="169" t="s">
        <v>104</v>
      </c>
    </row>
    <row r="11" spans="1:13" ht="18.75" customHeight="1" thickBot="1" x14ac:dyDescent="0.5"/>
    <row r="12" spans="1:13" ht="18.75" customHeight="1" x14ac:dyDescent="0.45">
      <c r="A12" s="168" t="s">
        <v>100</v>
      </c>
      <c r="B12" s="266" t="s">
        <v>101</v>
      </c>
      <c r="C12" s="267"/>
      <c r="D12" s="267"/>
      <c r="E12" s="267"/>
      <c r="F12" s="268"/>
    </row>
    <row r="13" spans="1:13" ht="18.75" customHeight="1" thickBot="1" x14ac:dyDescent="0.5">
      <c r="B13" s="254" t="s">
        <v>102</v>
      </c>
      <c r="C13" s="255"/>
      <c r="D13" s="255"/>
      <c r="E13" s="255"/>
      <c r="F13" s="256"/>
    </row>
    <row r="14" spans="1:13" ht="18.75" customHeight="1" x14ac:dyDescent="0.45"/>
    <row r="15" spans="1:13" ht="18.75" customHeight="1" x14ac:dyDescent="0.45">
      <c r="A15" t="s">
        <v>24</v>
      </c>
      <c r="B15" s="8" t="s">
        <v>25</v>
      </c>
      <c r="C15" s="20" t="s">
        <v>26</v>
      </c>
      <c r="D15" s="20" t="s">
        <v>27</v>
      </c>
      <c r="E15" s="20" t="s">
        <v>144</v>
      </c>
      <c r="F15" t="s">
        <v>28</v>
      </c>
    </row>
    <row r="16" spans="1:13" ht="18.75" customHeight="1" x14ac:dyDescent="0.45">
      <c r="A16" t="s">
        <v>29</v>
      </c>
      <c r="B16" s="11">
        <v>1</v>
      </c>
      <c r="C16" s="13"/>
      <c r="D16" s="13" t="e">
        <f>AVERAGE(C16:C18)</f>
        <v>#DIV/0!</v>
      </c>
      <c r="E16" s="13"/>
    </row>
    <row r="17" spans="1:5" ht="18.75" customHeight="1" x14ac:dyDescent="0.45">
      <c r="A17" t="s">
        <v>29</v>
      </c>
      <c r="B17" s="11">
        <v>2</v>
      </c>
      <c r="C17" s="13"/>
    </row>
    <row r="18" spans="1:5" ht="18.75" customHeight="1" x14ac:dyDescent="0.45">
      <c r="A18" t="s">
        <v>29</v>
      </c>
      <c r="B18" s="11">
        <v>3</v>
      </c>
      <c r="C18" s="13"/>
    </row>
    <row r="19" spans="1:5" ht="18.75" customHeight="1" x14ac:dyDescent="0.45">
      <c r="A19" t="s">
        <v>30</v>
      </c>
      <c r="B19" s="11">
        <v>1</v>
      </c>
      <c r="C19" s="13"/>
      <c r="D19" s="21" t="e">
        <f>AVERAGE(C19:C21)</f>
        <v>#DIV/0!</v>
      </c>
      <c r="E19" s="13"/>
    </row>
    <row r="20" spans="1:5" ht="18.75" customHeight="1" x14ac:dyDescent="0.45">
      <c r="A20" t="s">
        <v>30</v>
      </c>
      <c r="B20" s="11">
        <v>2</v>
      </c>
      <c r="C20" s="13"/>
    </row>
    <row r="21" spans="1:5" ht="18.75" customHeight="1" x14ac:dyDescent="0.45">
      <c r="A21" t="s">
        <v>30</v>
      </c>
      <c r="B21" s="11">
        <v>3</v>
      </c>
      <c r="C21" s="13"/>
    </row>
    <row r="22" spans="1:5" ht="18.75" customHeight="1" x14ac:dyDescent="0.45">
      <c r="A22" t="s">
        <v>31</v>
      </c>
      <c r="B22" s="11">
        <v>1</v>
      </c>
      <c r="C22" s="13"/>
      <c r="D22" s="13" t="e">
        <f>AVERAGE(C22:C24)</f>
        <v>#DIV/0!</v>
      </c>
      <c r="E22" s="13"/>
    </row>
    <row r="23" spans="1:5" ht="18.75" customHeight="1" x14ac:dyDescent="0.45">
      <c r="A23" t="s">
        <v>31</v>
      </c>
      <c r="B23" s="11">
        <v>2</v>
      </c>
      <c r="C23" s="13"/>
    </row>
    <row r="24" spans="1:5" ht="18.75" customHeight="1" x14ac:dyDescent="0.45">
      <c r="A24" t="s">
        <v>31</v>
      </c>
      <c r="B24" s="11">
        <v>3</v>
      </c>
      <c r="C24" s="13"/>
    </row>
    <row r="25" spans="1:5" ht="18.75" customHeight="1" x14ac:dyDescent="0.45">
      <c r="A25" t="s">
        <v>98</v>
      </c>
      <c r="B25" s="11">
        <v>1</v>
      </c>
      <c r="C25" s="13"/>
      <c r="D25" s="21" t="e">
        <f>AVERAGE(C25:C27)</f>
        <v>#DIV/0!</v>
      </c>
      <c r="E25" s="19"/>
    </row>
    <row r="26" spans="1:5" ht="18.75" customHeight="1" x14ac:dyDescent="0.45">
      <c r="A26" t="s">
        <v>98</v>
      </c>
      <c r="B26" s="11">
        <v>2</v>
      </c>
      <c r="C26" s="13"/>
    </row>
    <row r="27" spans="1:5" ht="18.75" customHeight="1" x14ac:dyDescent="0.45">
      <c r="A27" t="s">
        <v>98</v>
      </c>
      <c r="B27" s="11">
        <v>3</v>
      </c>
      <c r="C27" s="13"/>
    </row>
    <row r="28" spans="1:5" ht="18.75" customHeight="1" x14ac:dyDescent="0.45">
      <c r="A28" t="s">
        <v>99</v>
      </c>
      <c r="B28" s="11">
        <v>1</v>
      </c>
      <c r="C28" s="13"/>
      <c r="D28" s="13" t="e">
        <f>AVERAGE(C28:C30)</f>
        <v>#DIV/0!</v>
      </c>
      <c r="E28" s="13"/>
    </row>
    <row r="29" spans="1:5" ht="18.75" customHeight="1" x14ac:dyDescent="0.45">
      <c r="A29" t="s">
        <v>99</v>
      </c>
      <c r="B29" s="11">
        <v>2</v>
      </c>
      <c r="C29" s="13"/>
    </row>
    <row r="30" spans="1:5" ht="18.75" customHeight="1" x14ac:dyDescent="0.45">
      <c r="A30" t="s">
        <v>99</v>
      </c>
      <c r="B30" s="11">
        <v>3</v>
      </c>
      <c r="C30" s="13"/>
    </row>
    <row r="31" spans="1:5" ht="18.75" customHeight="1" x14ac:dyDescent="0.45">
      <c r="B31" s="11"/>
      <c r="E31" s="19"/>
    </row>
    <row r="32" spans="1:5" ht="18.75" customHeight="1" x14ac:dyDescent="0.45">
      <c r="B32" s="11"/>
    </row>
    <row r="33" spans="2:5" ht="18.75" customHeight="1" x14ac:dyDescent="0.45">
      <c r="B33" s="11"/>
    </row>
    <row r="34" spans="2:5" ht="18.75" customHeight="1" x14ac:dyDescent="0.45">
      <c r="B34" s="11"/>
      <c r="E34" s="19"/>
    </row>
    <row r="35" spans="2:5" ht="18.75" customHeight="1" x14ac:dyDescent="0.45">
      <c r="B35" s="11"/>
    </row>
    <row r="36" spans="2:5" ht="18.75" customHeight="1" x14ac:dyDescent="0.45">
      <c r="B36" s="11"/>
    </row>
    <row r="39" spans="2:5" ht="14.65" customHeight="1" x14ac:dyDescent="0.45"/>
  </sheetData>
  <mergeCells count="8">
    <mergeCell ref="B12:F12"/>
    <mergeCell ref="B13:F13"/>
    <mergeCell ref="H2:M8"/>
    <mergeCell ref="A1:K1"/>
    <mergeCell ref="B5:F5"/>
    <mergeCell ref="B7:F7"/>
    <mergeCell ref="B8:F8"/>
    <mergeCell ref="B9:F9"/>
  </mergeCells>
  <phoneticPr fontId="5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N62"/>
  <sheetViews>
    <sheetView workbookViewId="0">
      <selection activeCell="B17" sqref="B17:G19"/>
    </sheetView>
  </sheetViews>
  <sheetFormatPr defaultRowHeight="14.25" x14ac:dyDescent="0.45"/>
  <cols>
    <col min="1" max="1" width="20.33203125" customWidth="1"/>
    <col min="2" max="2" width="15.33203125" customWidth="1"/>
    <col min="3" max="3" width="11.06640625" style="24" customWidth="1"/>
    <col min="4" max="4" width="13.59765625" bestFit="1" customWidth="1"/>
    <col min="5" max="5" width="12.59765625" bestFit="1" customWidth="1"/>
    <col min="6" max="6" width="14.73046875" style="8" bestFit="1" customWidth="1"/>
    <col min="7" max="7" width="13.59765625" bestFit="1" customWidth="1"/>
  </cols>
  <sheetData>
    <row r="1" spans="1:14" ht="48.7" customHeight="1" thickBot="1" x14ac:dyDescent="0.5">
      <c r="A1" s="1"/>
      <c r="B1" s="224" t="s">
        <v>105</v>
      </c>
      <c r="C1" s="224"/>
      <c r="D1" s="224"/>
      <c r="E1" s="224"/>
      <c r="F1" s="224"/>
      <c r="G1" s="224"/>
    </row>
    <row r="2" spans="1:14" ht="18.75" customHeight="1" x14ac:dyDescent="0.45">
      <c r="A2" s="3" t="s">
        <v>4</v>
      </c>
      <c r="B2" s="74" t="str">
        <f>'Method Summary'!E3</f>
        <v>Urine and Serum</v>
      </c>
      <c r="C2" s="209"/>
      <c r="D2" s="64"/>
      <c r="E2" s="64"/>
      <c r="F2" s="58"/>
      <c r="G2" s="59"/>
      <c r="K2" s="24"/>
      <c r="N2" s="8"/>
    </row>
    <row r="3" spans="1:14" ht="18.75" customHeight="1" thickBot="1" x14ac:dyDescent="0.5">
      <c r="A3" s="3" t="s">
        <v>5</v>
      </c>
      <c r="B3" s="60" t="str">
        <f>'Method Summary'!C8</f>
        <v>umol/L</v>
      </c>
      <c r="C3" s="210"/>
      <c r="D3" s="66"/>
      <c r="E3" s="67"/>
      <c r="F3" s="61"/>
      <c r="G3" s="63"/>
    </row>
    <row r="4" spans="1:14" ht="18.75" customHeight="1" x14ac:dyDescent="0.45">
      <c r="A4" s="1"/>
      <c r="B4" s="1"/>
      <c r="C4" s="211"/>
      <c r="D4" s="1"/>
      <c r="E4" s="1"/>
      <c r="F4" s="2"/>
    </row>
    <row r="5" spans="1:14" ht="18.75" customHeight="1" thickBot="1" x14ac:dyDescent="0.5"/>
    <row r="6" spans="1:14" ht="18.75" customHeight="1" x14ac:dyDescent="0.45">
      <c r="A6" s="174" t="s">
        <v>11</v>
      </c>
      <c r="B6" s="277"/>
      <c r="C6" s="278"/>
      <c r="D6" s="278"/>
      <c r="E6" s="278"/>
      <c r="F6" s="279"/>
      <c r="G6" s="280"/>
    </row>
    <row r="7" spans="1:14" ht="18.75" customHeight="1" x14ac:dyDescent="0.45">
      <c r="A7" s="174" t="s">
        <v>12</v>
      </c>
      <c r="B7" s="281"/>
      <c r="C7" s="282"/>
      <c r="D7" s="282"/>
      <c r="E7" s="282"/>
      <c r="F7" s="283"/>
      <c r="G7" s="284"/>
    </row>
    <row r="8" spans="1:14" ht="18.75" customHeight="1" x14ac:dyDescent="0.45">
      <c r="A8" s="168" t="s">
        <v>107</v>
      </c>
      <c r="B8" s="281"/>
      <c r="C8" s="282"/>
      <c r="D8" s="282"/>
      <c r="E8" s="282"/>
      <c r="F8" s="283"/>
      <c r="G8" s="284"/>
    </row>
    <row r="9" spans="1:14" ht="18.75" customHeight="1" thickBot="1" x14ac:dyDescent="0.5">
      <c r="A9" s="168" t="s">
        <v>13</v>
      </c>
      <c r="B9" s="285"/>
      <c r="C9" s="286"/>
      <c r="D9" s="286"/>
      <c r="E9" s="286"/>
      <c r="F9" s="287"/>
      <c r="G9" s="288"/>
      <c r="K9" s="24"/>
      <c r="N9" s="8"/>
    </row>
    <row r="10" spans="1:14" ht="18.75" customHeight="1" thickBot="1" x14ac:dyDescent="0.5"/>
    <row r="11" spans="1:14" ht="26.2" customHeight="1" x14ac:dyDescent="0.45">
      <c r="A11" s="3" t="s">
        <v>106</v>
      </c>
      <c r="D11" s="68"/>
      <c r="E11" s="69"/>
      <c r="F11" s="70"/>
      <c r="G11" s="71"/>
    </row>
    <row r="12" spans="1:14" ht="18.75" customHeight="1" x14ac:dyDescent="0.45">
      <c r="A12" t="s">
        <v>6</v>
      </c>
      <c r="D12" s="72"/>
      <c r="E12" s="6"/>
      <c r="F12" s="7"/>
      <c r="G12" s="62"/>
    </row>
    <row r="13" spans="1:14" ht="18.75" customHeight="1" x14ac:dyDescent="0.45">
      <c r="A13" t="s">
        <v>7</v>
      </c>
      <c r="D13" s="72"/>
      <c r="E13" s="6"/>
      <c r="F13" s="7"/>
      <c r="G13" s="62"/>
    </row>
    <row r="14" spans="1:14" ht="18.75" customHeight="1" x14ac:dyDescent="0.45">
      <c r="A14" t="s">
        <v>8</v>
      </c>
      <c r="D14" s="72"/>
      <c r="E14" s="6"/>
      <c r="F14" s="7"/>
      <c r="G14" s="62"/>
    </row>
    <row r="15" spans="1:14" ht="18.75" customHeight="1" x14ac:dyDescent="0.45">
      <c r="A15" t="s">
        <v>9</v>
      </c>
      <c r="D15" s="72"/>
      <c r="E15" s="6"/>
      <c r="F15" s="7"/>
      <c r="G15" s="62"/>
    </row>
    <row r="16" spans="1:14" ht="18.75" customHeight="1" thickBot="1" x14ac:dyDescent="0.5">
      <c r="A16" t="s">
        <v>10</v>
      </c>
      <c r="D16" s="65"/>
      <c r="E16" s="66"/>
      <c r="F16" s="61"/>
      <c r="G16" s="63"/>
    </row>
    <row r="17" spans="1:8" ht="18.75" customHeight="1" x14ac:dyDescent="0.45">
      <c r="B17" s="269" t="s">
        <v>115</v>
      </c>
      <c r="C17" s="270"/>
      <c r="D17" s="270"/>
      <c r="E17" s="270"/>
      <c r="F17" s="270"/>
      <c r="G17" s="271"/>
    </row>
    <row r="18" spans="1:8" ht="18.75" customHeight="1" x14ac:dyDescent="0.45">
      <c r="B18" s="272"/>
      <c r="C18" s="249"/>
      <c r="D18" s="249"/>
      <c r="E18" s="249"/>
      <c r="F18" s="249"/>
      <c r="G18" s="273"/>
    </row>
    <row r="19" spans="1:8" ht="17.25" customHeight="1" thickBot="1" x14ac:dyDescent="0.5">
      <c r="B19" s="274"/>
      <c r="C19" s="275"/>
      <c r="D19" s="275"/>
      <c r="E19" s="275"/>
      <c r="F19" s="275"/>
      <c r="G19" s="276"/>
    </row>
    <row r="20" spans="1:8" ht="17.25" customHeight="1" x14ac:dyDescent="0.45">
      <c r="A20" s="85"/>
      <c r="B20" s="85"/>
      <c r="C20" s="85"/>
      <c r="D20" s="85"/>
      <c r="E20" s="85"/>
      <c r="F20" s="85"/>
      <c r="G20" s="85"/>
      <c r="H20" s="85"/>
    </row>
    <row r="21" spans="1:8" ht="30.75" customHeight="1" x14ac:dyDescent="0.45">
      <c r="B21" s="175" t="s">
        <v>14</v>
      </c>
      <c r="C21" s="175" t="s">
        <v>141</v>
      </c>
      <c r="D21" s="10" t="s">
        <v>15</v>
      </c>
      <c r="E21" s="10" t="s">
        <v>16</v>
      </c>
      <c r="F21" s="10" t="s">
        <v>17</v>
      </c>
      <c r="G21" s="11" t="s">
        <v>142</v>
      </c>
    </row>
    <row r="22" spans="1:8" ht="18.75" customHeight="1" x14ac:dyDescent="0.45">
      <c r="B22" s="11">
        <v>1</v>
      </c>
      <c r="F22"/>
    </row>
    <row r="23" spans="1:8" ht="18.75" customHeight="1" x14ac:dyDescent="0.45">
      <c r="B23" s="11">
        <v>2</v>
      </c>
      <c r="F23"/>
    </row>
    <row r="24" spans="1:8" ht="18.75" customHeight="1" x14ac:dyDescent="0.45">
      <c r="B24" s="11">
        <v>3</v>
      </c>
      <c r="F24"/>
    </row>
    <row r="25" spans="1:8" ht="18.75" customHeight="1" x14ac:dyDescent="0.45">
      <c r="B25" s="11">
        <v>4</v>
      </c>
      <c r="F25"/>
    </row>
    <row r="26" spans="1:8" ht="18.75" customHeight="1" x14ac:dyDescent="0.45">
      <c r="B26" s="11">
        <v>5</v>
      </c>
      <c r="F26"/>
    </row>
    <row r="27" spans="1:8" ht="18.75" customHeight="1" x14ac:dyDescent="0.45">
      <c r="B27" s="11">
        <v>6</v>
      </c>
      <c r="F27"/>
    </row>
    <row r="28" spans="1:8" ht="18.75" customHeight="1" x14ac:dyDescent="0.45">
      <c r="B28" s="11">
        <v>7</v>
      </c>
      <c r="F28"/>
    </row>
    <row r="29" spans="1:8" ht="18.75" customHeight="1" x14ac:dyDescent="0.45">
      <c r="B29" s="11">
        <v>8</v>
      </c>
      <c r="F29"/>
    </row>
    <row r="30" spans="1:8" ht="18.75" customHeight="1" x14ac:dyDescent="0.45">
      <c r="B30" s="11">
        <v>9</v>
      </c>
      <c r="F30"/>
    </row>
    <row r="31" spans="1:8" ht="18.75" customHeight="1" x14ac:dyDescent="0.45">
      <c r="B31" s="11">
        <v>10</v>
      </c>
      <c r="F31"/>
    </row>
    <row r="32" spans="1:8" ht="18.75" customHeight="1" x14ac:dyDescent="0.45">
      <c r="B32" s="11">
        <v>11</v>
      </c>
      <c r="F32"/>
    </row>
    <row r="33" spans="2:6" ht="18.75" customHeight="1" x14ac:dyDescent="0.45">
      <c r="B33" s="11">
        <v>12</v>
      </c>
      <c r="F33"/>
    </row>
    <row r="34" spans="2:6" ht="18.75" customHeight="1" x14ac:dyDescent="0.45">
      <c r="B34" s="11">
        <v>13</v>
      </c>
      <c r="F34"/>
    </row>
    <row r="35" spans="2:6" ht="18.75" customHeight="1" x14ac:dyDescent="0.45">
      <c r="B35" s="11">
        <v>14</v>
      </c>
      <c r="F35"/>
    </row>
    <row r="36" spans="2:6" ht="18.75" customHeight="1" x14ac:dyDescent="0.45">
      <c r="B36" s="11">
        <v>15</v>
      </c>
      <c r="F36"/>
    </row>
    <row r="37" spans="2:6" ht="18.75" customHeight="1" x14ac:dyDescent="0.45">
      <c r="B37" s="11">
        <v>16</v>
      </c>
      <c r="F37"/>
    </row>
    <row r="38" spans="2:6" ht="18.75" customHeight="1" x14ac:dyDescent="0.45">
      <c r="B38" s="11">
        <v>17</v>
      </c>
      <c r="F38"/>
    </row>
    <row r="39" spans="2:6" ht="18.75" customHeight="1" x14ac:dyDescent="0.45">
      <c r="B39" s="11">
        <v>18</v>
      </c>
      <c r="F39"/>
    </row>
    <row r="40" spans="2:6" ht="18.75" customHeight="1" x14ac:dyDescent="0.45">
      <c r="B40" s="11">
        <v>19</v>
      </c>
      <c r="F40"/>
    </row>
    <row r="41" spans="2:6" ht="18.75" customHeight="1" x14ac:dyDescent="0.45">
      <c r="B41" s="11">
        <v>20</v>
      </c>
      <c r="F41"/>
    </row>
    <row r="42" spans="2:6" ht="18.75" customHeight="1" x14ac:dyDescent="0.45">
      <c r="B42" s="11">
        <v>21</v>
      </c>
      <c r="F42"/>
    </row>
    <row r="43" spans="2:6" ht="18.75" customHeight="1" x14ac:dyDescent="0.45">
      <c r="B43" s="11">
        <v>22</v>
      </c>
      <c r="F43"/>
    </row>
    <row r="44" spans="2:6" ht="18.75" customHeight="1" x14ac:dyDescent="0.45">
      <c r="B44" s="11">
        <v>23</v>
      </c>
      <c r="F44"/>
    </row>
    <row r="45" spans="2:6" ht="18.75" customHeight="1" x14ac:dyDescent="0.45">
      <c r="B45" s="11">
        <v>24</v>
      </c>
      <c r="F45"/>
    </row>
    <row r="46" spans="2:6" ht="18.75" customHeight="1" x14ac:dyDescent="0.45">
      <c r="B46" s="11">
        <v>25</v>
      </c>
      <c r="F46"/>
    </row>
    <row r="47" spans="2:6" ht="18.75" customHeight="1" x14ac:dyDescent="0.45">
      <c r="B47" s="11">
        <v>26</v>
      </c>
      <c r="F47"/>
    </row>
    <row r="48" spans="2:6" ht="18.75" customHeight="1" x14ac:dyDescent="0.45">
      <c r="B48" s="11">
        <v>27</v>
      </c>
      <c r="F48"/>
    </row>
    <row r="49" spans="2:6" ht="18.75" customHeight="1" x14ac:dyDescent="0.45">
      <c r="B49" s="11">
        <v>28</v>
      </c>
      <c r="F49"/>
    </row>
    <row r="50" spans="2:6" ht="18.75" customHeight="1" x14ac:dyDescent="0.45">
      <c r="B50" s="11">
        <v>29</v>
      </c>
      <c r="F50"/>
    </row>
    <row r="51" spans="2:6" ht="18.75" customHeight="1" x14ac:dyDescent="0.45">
      <c r="B51" s="11">
        <v>30</v>
      </c>
      <c r="F51"/>
    </row>
    <row r="52" spans="2:6" ht="18.75" customHeight="1" x14ac:dyDescent="0.45">
      <c r="B52" s="11">
        <v>31</v>
      </c>
      <c r="F52"/>
    </row>
    <row r="53" spans="2:6" ht="18.75" customHeight="1" x14ac:dyDescent="0.45">
      <c r="B53" s="11">
        <v>32</v>
      </c>
      <c r="F53"/>
    </row>
    <row r="54" spans="2:6" x14ac:dyDescent="0.45">
      <c r="B54" s="11">
        <v>33</v>
      </c>
      <c r="F54"/>
    </row>
    <row r="55" spans="2:6" x14ac:dyDescent="0.45">
      <c r="B55" s="11">
        <v>34</v>
      </c>
      <c r="F55"/>
    </row>
    <row r="56" spans="2:6" x14ac:dyDescent="0.45">
      <c r="B56" s="11">
        <v>35</v>
      </c>
      <c r="F56"/>
    </row>
    <row r="57" spans="2:6" ht="18.75" customHeight="1" x14ac:dyDescent="0.45">
      <c r="B57" s="11">
        <v>36</v>
      </c>
      <c r="F57"/>
    </row>
    <row r="58" spans="2:6" ht="18.75" customHeight="1" x14ac:dyDescent="0.45">
      <c r="B58" s="11">
        <v>37</v>
      </c>
      <c r="F58"/>
    </row>
    <row r="59" spans="2:6" ht="18.75" customHeight="1" x14ac:dyDescent="0.45">
      <c r="B59" s="11">
        <v>38</v>
      </c>
      <c r="F59"/>
    </row>
    <row r="60" spans="2:6" ht="18.75" customHeight="1" x14ac:dyDescent="0.45">
      <c r="B60" s="11">
        <v>39</v>
      </c>
      <c r="F60"/>
    </row>
    <row r="61" spans="2:6" ht="18.75" customHeight="1" x14ac:dyDescent="0.45">
      <c r="B61" s="11">
        <v>40</v>
      </c>
      <c r="F61"/>
    </row>
    <row r="62" spans="2:6" ht="18.75" customHeight="1" x14ac:dyDescent="0.45"/>
  </sheetData>
  <mergeCells count="6">
    <mergeCell ref="B17:G19"/>
    <mergeCell ref="B1:G1"/>
    <mergeCell ref="B6:G6"/>
    <mergeCell ref="B7:G7"/>
    <mergeCell ref="B8:G8"/>
    <mergeCell ref="B9:G9"/>
  </mergeCells>
  <phoneticPr fontId="5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F45"/>
  <sheetViews>
    <sheetView workbookViewId="0">
      <selection activeCell="F15" sqref="F15"/>
    </sheetView>
  </sheetViews>
  <sheetFormatPr defaultRowHeight="14.25" x14ac:dyDescent="0.45"/>
  <cols>
    <col min="1" max="1" width="24.9296875" customWidth="1"/>
    <col min="2" max="2" width="9.06640625" style="20" bestFit="1" customWidth="1"/>
    <col min="3" max="3" width="13.59765625" bestFit="1" customWidth="1"/>
    <col min="4" max="4" width="13.59765625" style="20" bestFit="1" customWidth="1"/>
    <col min="5" max="5" width="13.59765625" bestFit="1" customWidth="1"/>
    <col min="6" max="6" width="27.06640625" bestFit="1" customWidth="1"/>
  </cols>
  <sheetData>
    <row r="1" spans="1:6" ht="18.75" customHeight="1" x14ac:dyDescent="0.45">
      <c r="A1" s="1" t="str">
        <f>"Verification of " &amp;B2&amp; " on " &amp;B3</f>
        <v>Verification of Creatinine on Atellica CI</v>
      </c>
      <c r="C1" s="1"/>
      <c r="D1" s="2"/>
      <c r="E1" s="1"/>
      <c r="F1" s="1"/>
    </row>
    <row r="2" spans="1:6" ht="18.75" customHeight="1" x14ac:dyDescent="0.5">
      <c r="A2" s="3" t="s">
        <v>0</v>
      </c>
      <c r="B2" s="14" t="str">
        <f>'Method Summary'!C3</f>
        <v>Creatinine</v>
      </c>
      <c r="C2" s="4"/>
      <c r="D2" s="5"/>
      <c r="E2" s="4"/>
      <c r="F2" s="4"/>
    </row>
    <row r="3" spans="1:6" ht="18.75" customHeight="1" x14ac:dyDescent="0.45">
      <c r="A3" s="3" t="s">
        <v>1</v>
      </c>
      <c r="B3" s="5" t="str">
        <f>'Method Summary'!C4</f>
        <v>Atellica CI</v>
      </c>
      <c r="C3" s="4"/>
      <c r="D3" s="5"/>
      <c r="E3" s="4"/>
      <c r="F3" s="4"/>
    </row>
    <row r="4" spans="1:6" ht="18.75" customHeight="1" x14ac:dyDescent="0.45">
      <c r="A4" s="3" t="s">
        <v>2</v>
      </c>
      <c r="B4" s="5">
        <f>'Method Summary'!C5</f>
        <v>0</v>
      </c>
      <c r="C4" s="4"/>
      <c r="D4" s="5"/>
      <c r="E4" s="4"/>
      <c r="F4" s="4"/>
    </row>
    <row r="5" spans="1:6" ht="18.75" customHeight="1" x14ac:dyDescent="0.45">
      <c r="B5" s="5"/>
      <c r="C5" s="4"/>
      <c r="D5" s="5"/>
      <c r="E5" s="4"/>
      <c r="F5" s="4"/>
    </row>
    <row r="6" spans="1:6" ht="18.75" customHeight="1" x14ac:dyDescent="0.45">
      <c r="A6" s="3" t="s">
        <v>5</v>
      </c>
      <c r="B6" s="7" t="str">
        <f>'Method Summary'!C8</f>
        <v>umol/L</v>
      </c>
      <c r="C6" s="6"/>
      <c r="D6" s="7"/>
      <c r="E6" s="4"/>
      <c r="F6" s="6"/>
    </row>
    <row r="7" spans="1:6" ht="18.75" customHeight="1" x14ac:dyDescent="0.45">
      <c r="A7" s="15" t="s">
        <v>4</v>
      </c>
      <c r="B7" s="7" t="str">
        <f>'Method Summary'!E3</f>
        <v>Urine and Serum</v>
      </c>
      <c r="C7" s="6"/>
      <c r="D7" s="7"/>
      <c r="E7" s="4"/>
      <c r="F7" s="6"/>
    </row>
    <row r="8" spans="1:6" ht="18.75" customHeight="1" x14ac:dyDescent="0.45">
      <c r="A8" s="15"/>
      <c r="B8" s="2"/>
      <c r="C8" s="1"/>
      <c r="D8" s="2"/>
      <c r="E8" s="1"/>
      <c r="F8" s="1"/>
    </row>
    <row r="9" spans="1:6" ht="18.75" customHeight="1" x14ac:dyDescent="0.45">
      <c r="A9" s="16" t="s">
        <v>18</v>
      </c>
      <c r="B9" s="294"/>
      <c r="C9" s="282"/>
      <c r="D9" s="283"/>
      <c r="E9" s="282"/>
      <c r="F9" s="295"/>
    </row>
    <row r="10" spans="1:6" ht="18.75" customHeight="1" x14ac:dyDescent="0.45">
      <c r="A10" s="17" t="s">
        <v>19</v>
      </c>
      <c r="B10" s="5"/>
      <c r="C10" s="4"/>
      <c r="D10" s="5"/>
      <c r="E10" s="4"/>
      <c r="F10" s="4"/>
    </row>
    <row r="11" spans="1:6" ht="18.75" customHeight="1" x14ac:dyDescent="0.45">
      <c r="A11" s="9" t="s">
        <v>20</v>
      </c>
      <c r="B11" s="294"/>
      <c r="C11" s="282"/>
      <c r="D11" s="283"/>
      <c r="E11" s="282"/>
      <c r="F11" s="295"/>
    </row>
    <row r="12" spans="1:6" ht="18.75" customHeight="1" x14ac:dyDescent="0.45">
      <c r="A12" s="9" t="s">
        <v>21</v>
      </c>
      <c r="B12" s="294"/>
      <c r="C12" s="282"/>
      <c r="D12" s="283"/>
      <c r="E12" s="282"/>
      <c r="F12" s="295"/>
    </row>
    <row r="13" spans="1:6" ht="18.75" customHeight="1" x14ac:dyDescent="0.45">
      <c r="A13" s="18" t="s">
        <v>22</v>
      </c>
      <c r="B13" s="294"/>
      <c r="C13" s="282"/>
      <c r="D13" s="283"/>
      <c r="E13" s="282"/>
      <c r="F13" s="295"/>
    </row>
    <row r="14" spans="1:6" ht="18.75" customHeight="1" x14ac:dyDescent="0.45">
      <c r="A14" t="s">
        <v>23</v>
      </c>
    </row>
    <row r="15" spans="1:6" ht="18.75" customHeight="1" x14ac:dyDescent="0.45"/>
    <row r="16" spans="1:6" ht="18.75" customHeight="1" x14ac:dyDescent="0.45">
      <c r="A16" s="22" t="s">
        <v>33</v>
      </c>
    </row>
    <row r="17" spans="1:6" ht="18.75" customHeight="1" x14ac:dyDescent="0.45">
      <c r="A17" s="23"/>
    </row>
    <row r="18" spans="1:6" ht="18.75" customHeight="1" x14ac:dyDescent="0.45">
      <c r="A18" s="23" t="s">
        <v>134</v>
      </c>
    </row>
    <row r="19" spans="1:6" ht="18.75" customHeight="1" x14ac:dyDescent="0.45">
      <c r="A19" s="23" t="s">
        <v>135</v>
      </c>
    </row>
    <row r="20" spans="1:6" ht="18.75" customHeight="1" x14ac:dyDescent="0.45">
      <c r="A20" s="23" t="s">
        <v>34</v>
      </c>
    </row>
    <row r="21" spans="1:6" ht="18.75" customHeight="1" x14ac:dyDescent="0.45"/>
    <row r="22" spans="1:6" s="24" customFormat="1" ht="19.5" customHeight="1" x14ac:dyDescent="0.45">
      <c r="B22" s="25" t="s">
        <v>35</v>
      </c>
      <c r="C22" s="26" t="s">
        <v>36</v>
      </c>
      <c r="D22" s="73" t="s">
        <v>16</v>
      </c>
      <c r="E22" s="26" t="s">
        <v>37</v>
      </c>
      <c r="F22" s="26" t="s">
        <v>38</v>
      </c>
    </row>
    <row r="23" spans="1:6" s="24" customFormat="1" ht="18.75" customHeight="1" x14ac:dyDescent="0.45">
      <c r="B23" s="27">
        <v>1</v>
      </c>
      <c r="C23" s="28" t="s">
        <v>39</v>
      </c>
      <c r="D23" s="29">
        <v>255</v>
      </c>
      <c r="E23" s="28"/>
      <c r="F23" s="28"/>
    </row>
    <row r="24" spans="1:6" s="24" customFormat="1" ht="18.75" customHeight="1" x14ac:dyDescent="0.45">
      <c r="B24" s="27">
        <v>2</v>
      </c>
      <c r="C24" s="28" t="s">
        <v>39</v>
      </c>
      <c r="D24" s="29">
        <v>255</v>
      </c>
      <c r="E24" s="28"/>
      <c r="F24" s="28"/>
    </row>
    <row r="25" spans="1:6" s="24" customFormat="1" ht="18.75" customHeight="1" x14ac:dyDescent="0.45">
      <c r="B25" s="27">
        <v>3</v>
      </c>
      <c r="C25" s="28" t="s">
        <v>39</v>
      </c>
      <c r="D25" s="29">
        <v>251</v>
      </c>
      <c r="E25" s="28"/>
      <c r="F25" s="28"/>
    </row>
    <row r="26" spans="1:6" s="24" customFormat="1" ht="18.75" customHeight="1" x14ac:dyDescent="0.45">
      <c r="B26" s="27">
        <v>4</v>
      </c>
      <c r="C26" s="28" t="s">
        <v>40</v>
      </c>
      <c r="D26" s="29">
        <v>764</v>
      </c>
      <c r="E26" s="28"/>
      <c r="F26" s="28"/>
    </row>
    <row r="27" spans="1:6" s="24" customFormat="1" ht="18.75" customHeight="1" x14ac:dyDescent="0.45">
      <c r="B27" s="27">
        <v>5</v>
      </c>
      <c r="C27" s="28" t="s">
        <v>40</v>
      </c>
      <c r="D27" s="29">
        <v>762</v>
      </c>
      <c r="E27" s="28"/>
      <c r="F27" s="28"/>
    </row>
    <row r="28" spans="1:6" s="24" customFormat="1" ht="18.75" customHeight="1" x14ac:dyDescent="0.45">
      <c r="B28" s="27">
        <v>6</v>
      </c>
      <c r="C28" s="28" t="s">
        <v>39</v>
      </c>
      <c r="D28" s="29">
        <v>252</v>
      </c>
      <c r="E28" s="28"/>
      <c r="F28" s="28"/>
    </row>
    <row r="29" spans="1:6" s="24" customFormat="1" ht="18.75" customHeight="1" x14ac:dyDescent="0.45">
      <c r="B29" s="27">
        <v>7</v>
      </c>
      <c r="C29" s="28" t="s">
        <v>39</v>
      </c>
      <c r="D29" s="29">
        <v>255</v>
      </c>
      <c r="E29" s="28"/>
      <c r="F29" s="28"/>
    </row>
    <row r="30" spans="1:6" s="24" customFormat="1" ht="18.75" customHeight="1" x14ac:dyDescent="0.45">
      <c r="B30" s="27">
        <v>8</v>
      </c>
      <c r="C30" s="28" t="s">
        <v>40</v>
      </c>
      <c r="D30" s="29">
        <v>765</v>
      </c>
      <c r="E30" s="28"/>
      <c r="F30" s="28"/>
    </row>
    <row r="31" spans="1:6" s="24" customFormat="1" ht="18.75" customHeight="1" x14ac:dyDescent="0.45">
      <c r="B31" s="27">
        <v>9</v>
      </c>
      <c r="C31" s="28" t="s">
        <v>40</v>
      </c>
      <c r="D31" s="29">
        <v>765</v>
      </c>
      <c r="E31" s="28"/>
      <c r="F31" s="28"/>
    </row>
    <row r="32" spans="1:6" s="24" customFormat="1" ht="18.75" customHeight="1" x14ac:dyDescent="0.45">
      <c r="B32" s="27">
        <v>10</v>
      </c>
      <c r="C32" s="28" t="s">
        <v>39</v>
      </c>
      <c r="D32" s="29">
        <v>254</v>
      </c>
      <c r="E32" s="28"/>
      <c r="F32" s="28"/>
    </row>
    <row r="33" spans="2:6" s="24" customFormat="1" ht="18.75" customHeight="1" x14ac:dyDescent="0.45">
      <c r="B33" s="27">
        <v>11</v>
      </c>
      <c r="C33" s="28" t="s">
        <v>39</v>
      </c>
      <c r="D33" s="29">
        <v>253</v>
      </c>
      <c r="E33" s="28"/>
      <c r="F33" s="28"/>
    </row>
    <row r="34" spans="2:6" s="24" customFormat="1" ht="18.75" customHeight="1" x14ac:dyDescent="0.45">
      <c r="B34" s="27">
        <v>12</v>
      </c>
      <c r="C34" s="28" t="s">
        <v>39</v>
      </c>
      <c r="D34" s="29">
        <v>254</v>
      </c>
      <c r="E34" s="28"/>
      <c r="F34" s="28"/>
    </row>
    <row r="35" spans="2:6" s="24" customFormat="1" ht="18.75" customHeight="1" x14ac:dyDescent="0.45">
      <c r="B35" s="27">
        <v>13</v>
      </c>
      <c r="C35" s="28" t="s">
        <v>39</v>
      </c>
      <c r="D35" s="29">
        <v>255</v>
      </c>
      <c r="E35" s="28"/>
      <c r="F35" s="28"/>
    </row>
    <row r="36" spans="2:6" s="24" customFormat="1" ht="18.75" customHeight="1" x14ac:dyDescent="0.45">
      <c r="B36" s="27">
        <v>14</v>
      </c>
      <c r="C36" s="28" t="s">
        <v>40</v>
      </c>
      <c r="D36" s="29">
        <v>766</v>
      </c>
      <c r="E36" s="28"/>
      <c r="F36" s="28"/>
    </row>
    <row r="37" spans="2:6" s="24" customFormat="1" ht="18.75" customHeight="1" x14ac:dyDescent="0.45">
      <c r="B37" s="27">
        <v>15</v>
      </c>
      <c r="C37" s="28" t="s">
        <v>40</v>
      </c>
      <c r="D37" s="29">
        <v>763</v>
      </c>
      <c r="E37" s="28"/>
      <c r="F37" s="28"/>
    </row>
    <row r="38" spans="2:6" s="24" customFormat="1" ht="18.75" customHeight="1" x14ac:dyDescent="0.45">
      <c r="B38" s="27">
        <v>16</v>
      </c>
      <c r="C38" s="28" t="s">
        <v>40</v>
      </c>
      <c r="D38" s="29">
        <v>765</v>
      </c>
      <c r="E38" s="28"/>
      <c r="F38" s="28"/>
    </row>
    <row r="39" spans="2:6" s="24" customFormat="1" ht="18.75" customHeight="1" x14ac:dyDescent="0.45">
      <c r="B39" s="27">
        <v>17</v>
      </c>
      <c r="C39" s="28" t="s">
        <v>40</v>
      </c>
      <c r="D39" s="29">
        <v>765</v>
      </c>
      <c r="E39" s="28"/>
      <c r="F39" s="28"/>
    </row>
    <row r="40" spans="2:6" s="24" customFormat="1" ht="18.75" customHeight="1" x14ac:dyDescent="0.45">
      <c r="B40" s="27">
        <v>18</v>
      </c>
      <c r="C40" s="28" t="s">
        <v>39</v>
      </c>
      <c r="D40" s="29">
        <v>254</v>
      </c>
      <c r="E40" s="28"/>
      <c r="F40" s="28"/>
    </row>
    <row r="41" spans="2:6" s="24" customFormat="1" ht="18.75" customHeight="1" x14ac:dyDescent="0.45">
      <c r="B41" s="27">
        <v>19</v>
      </c>
      <c r="C41" s="28" t="s">
        <v>39</v>
      </c>
      <c r="D41" s="29">
        <v>252</v>
      </c>
      <c r="E41" s="28"/>
      <c r="F41" s="28"/>
    </row>
    <row r="42" spans="2:6" s="24" customFormat="1" ht="18.75" customHeight="1" x14ac:dyDescent="0.45">
      <c r="B42" s="27">
        <v>20</v>
      </c>
      <c r="C42" s="28" t="s">
        <v>39</v>
      </c>
      <c r="D42" s="29">
        <v>254</v>
      </c>
      <c r="E42" s="28"/>
      <c r="F42" s="28"/>
    </row>
    <row r="43" spans="2:6" s="24" customFormat="1" ht="18.75" customHeight="1" x14ac:dyDescent="0.45">
      <c r="B43" s="30"/>
      <c r="C43" s="289"/>
      <c r="D43" s="31" t="s">
        <v>41</v>
      </c>
      <c r="E43" s="28"/>
      <c r="F43" s="28"/>
    </row>
    <row r="44" spans="2:6" s="24" customFormat="1" ht="18.75" customHeight="1" x14ac:dyDescent="0.45">
      <c r="B44" s="30"/>
      <c r="C44" s="290"/>
      <c r="D44" s="31" t="s">
        <v>42</v>
      </c>
      <c r="E44" s="28"/>
      <c r="F44" s="28"/>
    </row>
    <row r="45" spans="2:6" s="24" customFormat="1" ht="18.75" customHeight="1" x14ac:dyDescent="0.45">
      <c r="B45" s="30"/>
      <c r="C45" s="291"/>
      <c r="D45" s="31" t="s">
        <v>43</v>
      </c>
      <c r="E45" s="292"/>
      <c r="F45" s="293"/>
    </row>
  </sheetData>
  <mergeCells count="6">
    <mergeCell ref="C43:C45"/>
    <mergeCell ref="E45:F45"/>
    <mergeCell ref="B9:F9"/>
    <mergeCell ref="B11:F11"/>
    <mergeCell ref="B12:F12"/>
    <mergeCell ref="B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Method Summary</vt:lpstr>
      <vt:lpstr>Accuracy</vt:lpstr>
      <vt:lpstr>Precision</vt:lpstr>
      <vt:lpstr>Linearity, Sr</vt:lpstr>
      <vt:lpstr>Linearity, Ur</vt:lpstr>
      <vt:lpstr>Reference Interval</vt:lpstr>
      <vt:lpstr>Carryover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Rajeevan Selvaratnam</dc:creator>
  <cp:lastModifiedBy>Selvaratnam, Rajeevan</cp:lastModifiedBy>
  <dcterms:created xsi:type="dcterms:W3CDTF">2025-09-17T02:26:35Z</dcterms:created>
  <dcterms:modified xsi:type="dcterms:W3CDTF">2026-09-23T16:13:22Z</dcterms:modified>
</cp:coreProperties>
</file>